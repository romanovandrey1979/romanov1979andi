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Смета A" sheetId="2" state="visible" r:id="rId2"/>
    <sheet xmlns:r="http://schemas.openxmlformats.org/officeDocument/2006/relationships" name="Смета B" sheetId="3" state="visible" r:id="rId3"/>
    <sheet xmlns:r="http://schemas.openxmlformats.org/officeDocument/2006/relationships" name="Смета C" sheetId="4" state="visible" r:id="rId4"/>
    <sheet xmlns:r="http://schemas.openxmlformats.org/officeDocument/2006/relationships" name="Вне СМР" sheetId="5" state="visible" r:id="rId5"/>
    <sheet xmlns:r="http://schemas.openxmlformats.org/officeDocument/2006/relationships" name="По разделам" sheetId="6" state="visible" r:id="rId6"/>
    <sheet xmlns:r="http://schemas.openxmlformats.org/officeDocument/2006/relationships" name="Допущения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3F3F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3" fontId="1" fillId="3" borderId="1" applyAlignment="1" pivotButton="0" quotePrefix="0" xfId="0">
      <alignment vertical="top" wrapText="1"/>
    </xf>
    <xf numFmtId="3" fontId="0" fillId="0" borderId="0" pivotButton="0" quotePrefix="0" xfId="0"/>
    <xf numFmtId="4" fontId="0" fillId="0" borderId="1" applyAlignment="1" pivotButton="0" quotePrefix="0" xfId="0">
      <alignment vertical="top" wrapText="1"/>
    </xf>
    <xf numFmtId="4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Эллинг «Застава», посёлок «Берта» — полная стоимость, ₽ с НДС (IV кв. 2026)</t>
        </is>
      </c>
      <c r="B1" s="2" t="n"/>
      <c r="C1" s="2" t="n"/>
      <c r="D1" s="2" t="n"/>
    </row>
    <row r="2">
      <c r="A2" s="2" t="inlineStr">
        <is>
          <t>Площадь помещений 961.54 м²; цены Москва/МО под ключ; формулы живые — меняйте цены на листах сценариев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3" t="inlineStr">
        <is>
          <t>Показатель</t>
        </is>
      </c>
      <c r="B4" s="3" t="inlineStr">
        <is>
          <t>A — проект ЭП как есть</t>
        </is>
      </c>
      <c r="C4" s="3" t="inlineStr">
        <is>
          <t>B — рекомендуемый</t>
        </is>
      </c>
      <c r="D4" s="3" t="inlineStr">
        <is>
          <t>C — минимум первой очереди</t>
        </is>
      </c>
    </row>
    <row r="5">
      <c r="A5" s="2" t="inlineStr">
        <is>
          <t>СМР здания</t>
        </is>
      </c>
      <c r="B5" s="4">
        <f>'Смета A'!H79</f>
        <v/>
      </c>
      <c r="C5" s="4">
        <f>'Смета B'!H79</f>
        <v/>
      </c>
      <c r="D5" s="4">
        <f>'Смета C'!H79</f>
        <v/>
      </c>
    </row>
    <row r="6">
      <c r="A6" s="2" t="inlineStr">
        <is>
          <t>Вне СМР</t>
        </is>
      </c>
      <c r="B6" s="4">
        <f>SUM('Вне СМР'!C2:C16)</f>
        <v/>
      </c>
      <c r="C6" s="4">
        <f>SUM('Вне СМР'!D2:D16)</f>
        <v/>
      </c>
      <c r="D6" s="4">
        <f>SUM('Вне СМР'!E2:E16)</f>
        <v/>
      </c>
    </row>
    <row r="7">
      <c r="A7" s="2" t="inlineStr">
        <is>
          <t>Резерв, доля</t>
        </is>
      </c>
      <c r="B7" s="5" t="n">
        <v>0.15</v>
      </c>
      <c r="C7" s="5" t="n">
        <v>0.12</v>
      </c>
      <c r="D7" s="5" t="n">
        <v>0.15</v>
      </c>
    </row>
    <row r="8">
      <c r="A8" s="2" t="inlineStr">
        <is>
          <t>Резерв</t>
        </is>
      </c>
      <c r="B8" s="4">
        <f>(B5+B6)*B7</f>
        <v/>
      </c>
      <c r="C8" s="4">
        <f>(C5+C6)*C7</f>
        <v/>
      </c>
      <c r="D8" s="4">
        <f>(D5+D6)*D7</f>
        <v/>
      </c>
    </row>
    <row r="9">
      <c r="A9" s="6" t="inlineStr">
        <is>
          <t>ПОЛНАЯ СТОИМОСТЬ</t>
        </is>
      </c>
      <c r="B9" s="7">
        <f>B5+B6+B8</f>
        <v/>
      </c>
      <c r="C9" s="7">
        <f>C5+C6+C8</f>
        <v/>
      </c>
      <c r="D9" s="7">
        <f>D5+D6+D8</f>
        <v/>
      </c>
    </row>
    <row r="10">
      <c r="A10" s="2" t="inlineStr">
        <is>
          <t>СМР, ₽/м²</t>
        </is>
      </c>
      <c r="B10" s="4">
        <f>B5/961.54</f>
        <v/>
      </c>
      <c r="C10" s="4">
        <f>C5/961.54</f>
        <v/>
      </c>
      <c r="D10" s="4">
        <f>D5/961.54</f>
        <v/>
      </c>
    </row>
    <row r="11">
      <c r="A11" s="2" t="inlineStr">
        <is>
          <t>Полная, ₽/м²</t>
        </is>
      </c>
      <c r="B11" s="4">
        <f>B9/961.54</f>
        <v/>
      </c>
      <c r="C11" s="4">
        <f>C9/961.54</f>
        <v/>
      </c>
      <c r="D11" s="4">
        <f>D9/961.54</f>
        <v/>
      </c>
    </row>
    <row r="13">
      <c r="A13" t="inlineStr">
        <is>
          <t>Справочно</t>
        </is>
      </c>
      <c r="B13" t="inlineStr">
        <is>
          <t>До резерва</t>
        </is>
      </c>
      <c r="C13" t="inlineStr">
        <is>
          <t>С резервом</t>
        </is>
      </c>
      <c r="D13" t="inlineStr">
        <is>
          <t>₽/м²</t>
        </is>
      </c>
    </row>
    <row r="14">
      <c r="A14" t="inlineStr">
        <is>
          <t>Смета ЭП (вариант 2 ЖБ)</t>
        </is>
      </c>
      <c r="B14" s="8" t="n">
        <v>141200000</v>
      </c>
      <c r="C14" s="8" t="n">
        <v>155320000</v>
      </c>
      <c r="D14" s="8" t="n">
        <v>161020</v>
      </c>
    </row>
    <row r="15">
      <c r="A15" t="inlineStr">
        <is>
          <t>Модель Строй Хауз (× 43,5/31,36)</t>
        </is>
      </c>
      <c r="B15" s="8" t="n">
        <v>195860969</v>
      </c>
      <c r="C15" s="8" t="inlineStr"/>
      <c r="D15" s="8" t="n">
        <v>203049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0" customWidth="1" min="2" max="2"/>
    <col width="7" customWidth="1" min="3" max="3"/>
    <col width="10" customWidth="1" min="4" max="4"/>
    <col width="12" customWidth="1" min="5" max="5"/>
    <col width="14" customWidth="1" min="6" max="6"/>
    <col width="14" customWidth="1" min="7" max="7"/>
    <col width="15" customWidth="1" min="8" max="8"/>
    <col width="34" customWidth="1" min="9" max="9"/>
  </cols>
  <sheetData>
    <row r="1">
      <c r="A1" s="3" t="inlineStr">
        <is>
          <t>Раздел</t>
        </is>
      </c>
      <c r="B1" s="3" t="inlineStr">
        <is>
          <t>Наименование</t>
        </is>
      </c>
      <c r="C1" s="3" t="inlineStr">
        <is>
          <t>Ед.</t>
        </is>
      </c>
      <c r="D1" s="3" t="inlineStr">
        <is>
          <t>Кол-во</t>
        </is>
      </c>
      <c r="E1" s="3" t="inlineStr">
        <is>
          <t>Цена, ₽/ед.</t>
        </is>
      </c>
      <c r="F1" s="3" t="inlineStr">
        <is>
          <t>Материалы, ₽</t>
        </is>
      </c>
      <c r="G1" s="3" t="inlineStr">
        <is>
          <t>Работы, ₽</t>
        </is>
      </c>
      <c r="H1" s="3" t="inlineStr">
        <is>
          <t>Сумма, ₽</t>
        </is>
      </c>
      <c r="I1" s="3" t="inlineStr">
        <is>
          <t>Основание</t>
        </is>
      </c>
    </row>
    <row r="2">
      <c r="A2" s="2" t="inlineStr">
        <is>
          <t>01 Подготовка территории</t>
        </is>
      </c>
      <c r="B2" s="2" t="inlineStr">
        <is>
          <t>Бытовки, временные сети, ограждение, охрана на период стройки</t>
        </is>
      </c>
      <c r="C2" s="2" t="inlineStr">
        <is>
          <t>мес</t>
        </is>
      </c>
      <c r="D2" s="9" t="n">
        <v>12</v>
      </c>
      <c r="E2" s="4" t="n">
        <v>120000</v>
      </c>
      <c r="F2" s="4">
        <f>H2*0.3</f>
        <v/>
      </c>
      <c r="G2" s="4">
        <f>H2-F2</f>
        <v/>
      </c>
      <c r="H2" s="4">
        <f>D2*E2</f>
        <v/>
      </c>
      <c r="I2" s="2" t="inlineStr">
        <is>
          <t>общая площадка посёлка — рычаг 7</t>
        </is>
      </c>
    </row>
    <row r="3">
      <c r="A3" s="2" t="inlineStr">
        <is>
          <t>01 Подготовка территории</t>
        </is>
      </c>
      <c r="B3" s="2" t="inlineStr">
        <is>
          <t>Геодезическая разбивка и исполнительные съёмки</t>
        </is>
      </c>
      <c r="C3" s="2" t="inlineStr">
        <is>
          <t>компл</t>
        </is>
      </c>
      <c r="D3" s="9" t="n">
        <v>1</v>
      </c>
      <c r="E3" s="4" t="n">
        <v>250000</v>
      </c>
      <c r="F3" s="4">
        <f>H3*0.0</f>
        <v/>
      </c>
      <c r="G3" s="4">
        <f>H3-F3</f>
        <v/>
      </c>
      <c r="H3" s="4">
        <f>D3*E3</f>
        <v/>
      </c>
      <c r="I3" s="2" t="inlineStr">
        <is>
          <t>рынок МО</t>
        </is>
      </c>
    </row>
    <row r="4">
      <c r="A4" s="2" t="inlineStr">
        <is>
          <t>01 Подготовка территории</t>
        </is>
      </c>
      <c r="B4" s="2" t="inlineStr">
        <is>
          <t>Вывоз мусора, уборка площадки</t>
        </is>
      </c>
      <c r="C4" s="2" t="inlineStr">
        <is>
          <t>мес</t>
        </is>
      </c>
      <c r="D4" s="9" t="n">
        <v>12</v>
      </c>
      <c r="E4" s="4" t="n">
        <v>35000</v>
      </c>
      <c r="F4" s="4">
        <f>H4*0.2</f>
        <v/>
      </c>
      <c r="G4" s="4">
        <f>H4-F4</f>
        <v/>
      </c>
      <c r="H4" s="4">
        <f>D4*E4</f>
        <v/>
      </c>
      <c r="I4" s="2" t="inlineStr">
        <is>
          <t>рынок МО</t>
        </is>
      </c>
    </row>
    <row r="5">
      <c r="A5" s="2" t="inlineStr">
        <is>
          <t>02 Земляные работы</t>
        </is>
      </c>
      <c r="B5" s="2" t="inlineStr">
        <is>
          <t>Срезка растительного слоя и глины 0,3 м с вывозом</t>
        </is>
      </c>
      <c r="C5" s="2" t="inlineStr">
        <is>
          <t>м³</t>
        </is>
      </c>
      <c r="D5" s="9" t="n">
        <v>208</v>
      </c>
      <c r="E5" s="4" t="n">
        <v>1300</v>
      </c>
      <c r="F5" s="4">
        <f>H5*0.0</f>
        <v/>
      </c>
      <c r="G5" s="4">
        <f>H5-F5</f>
        <v/>
      </c>
      <c r="H5" s="4">
        <f>D5*E5</f>
        <v/>
      </c>
      <c r="I5" s="2" t="inlineStr">
        <is>
          <t>вывоз 700 ₽/м³ (протокол 19.10) + разработка</t>
        </is>
      </c>
    </row>
    <row r="6">
      <c r="A6" s="2" t="inlineStr">
        <is>
          <t>02 Земляные работы</t>
        </is>
      </c>
      <c r="B6" s="2" t="inlineStr">
        <is>
          <t>Песчаная подушка 0,5 м с послойным уплотнением</t>
        </is>
      </c>
      <c r="C6" s="2" t="inlineStr">
        <is>
          <t>м³</t>
        </is>
      </c>
      <c r="D6" s="9" t="n">
        <v>308</v>
      </c>
      <c r="E6" s="4" t="n">
        <v>1900</v>
      </c>
      <c r="F6" s="4">
        <f>H6*0.65</f>
        <v/>
      </c>
      <c r="G6" s="4">
        <f>H6-F6</f>
        <v/>
      </c>
      <c r="H6" s="4">
        <f>D6*E6</f>
        <v/>
      </c>
      <c r="I6" s="2" t="inlineStr">
        <is>
          <t>песок 900–1 100 ₽/м³</t>
        </is>
      </c>
    </row>
    <row r="7">
      <c r="A7" s="2" t="inlineStr">
        <is>
          <t>02 Земляные работы</t>
        </is>
      </c>
      <c r="B7" s="2" t="inlineStr">
        <is>
          <t>Обратная засыпка пазух, планировка</t>
        </is>
      </c>
      <c r="C7" s="2" t="inlineStr">
        <is>
          <t>м³</t>
        </is>
      </c>
      <c r="D7" s="9" t="n">
        <v>180</v>
      </c>
      <c r="E7" s="4" t="n">
        <v>900</v>
      </c>
      <c r="F7" s="4">
        <f>H7*0.4</f>
        <v/>
      </c>
      <c r="G7" s="4">
        <f>H7-F7</f>
        <v/>
      </c>
      <c r="H7" s="4">
        <f>D7*E7</f>
        <v/>
      </c>
      <c r="I7" s="2" t="inlineStr">
        <is>
          <t>рынок МО</t>
        </is>
      </c>
    </row>
    <row r="8">
      <c r="A8" s="2" t="inlineStr">
        <is>
          <t>03 Фундамент</t>
        </is>
      </c>
      <c r="B8" s="2" t="inlineStr">
        <is>
          <t>Сваи ЖБ С80.30 (8 м) с забивкой, 77 шт.</t>
        </is>
      </c>
      <c r="C8" s="2" t="inlineStr">
        <is>
          <t>шт</t>
        </is>
      </c>
      <c r="D8" s="9" t="n">
        <v>77</v>
      </c>
      <c r="E8" s="4" t="n">
        <v>34000</v>
      </c>
      <c r="F8" s="4">
        <f>H8*0.65</f>
        <v/>
      </c>
      <c r="G8" s="4">
        <f>H8-F8</f>
        <v/>
      </c>
      <c r="H8" s="4">
        <f>D8*E8</f>
        <v/>
      </c>
      <c r="I8" s="2" t="inlineStr">
        <is>
          <t>свая 19–21 тыс. + забивка 1 200–1 500 ₽/м</t>
        </is>
      </c>
    </row>
    <row r="9">
      <c r="A9" s="2" t="inlineStr">
        <is>
          <t>03 Фундамент</t>
        </is>
      </c>
      <c r="B9" s="2" t="inlineStr">
        <is>
          <t>Испытания свай статической и динамической нагрузкой</t>
        </is>
      </c>
      <c r="C9" s="2" t="inlineStr">
        <is>
          <t>компл</t>
        </is>
      </c>
      <c r="D9" s="9" t="n">
        <v>1</v>
      </c>
      <c r="E9" s="4" t="n">
        <v>350000</v>
      </c>
      <c r="F9" s="4">
        <f>H9*0.0</f>
        <v/>
      </c>
      <c r="G9" s="4">
        <f>H9-F9</f>
        <v/>
      </c>
      <c r="H9" s="4">
        <f>D9*E9</f>
        <v/>
      </c>
      <c r="I9" s="2" t="inlineStr">
        <is>
          <t>СП 24.13330</t>
        </is>
      </c>
    </row>
    <row r="10">
      <c r="A10" s="2" t="inlineStr">
        <is>
          <t>03 Фундамент</t>
        </is>
      </c>
      <c r="B10" s="2" t="inlineStr">
        <is>
          <t>Подбетонка В7,5 80 мм</t>
        </is>
      </c>
      <c r="C10" s="2" t="inlineStr">
        <is>
          <t>м²</t>
        </is>
      </c>
      <c r="D10" s="9" t="n">
        <v>513.5700000000001</v>
      </c>
      <c r="E10" s="4" t="n">
        <v>750</v>
      </c>
      <c r="F10" s="4">
        <f>H10*0.6</f>
        <v/>
      </c>
      <c r="G10" s="4">
        <f>H10-F10</f>
        <v/>
      </c>
      <c r="H10" s="4">
        <f>D10*E10</f>
        <v/>
      </c>
      <c r="I10" s="2" t="inlineStr">
        <is>
          <t>рынок МО</t>
        </is>
      </c>
    </row>
    <row r="11">
      <c r="A11" s="2" t="inlineStr">
        <is>
          <t>03 Фундамент</t>
        </is>
      </c>
      <c r="B11" s="2" t="inlineStr">
        <is>
          <t>Гидроизоляция под плиту и по торцам (2 слоя наплавляемая)</t>
        </is>
      </c>
      <c r="C11" s="2" t="inlineStr">
        <is>
          <t>м²</t>
        </is>
      </c>
      <c r="D11" s="9" t="n">
        <v>591</v>
      </c>
      <c r="E11" s="4" t="n">
        <v>1100</v>
      </c>
      <c r="F11" s="4">
        <f>H11*0.55</f>
        <v/>
      </c>
      <c r="G11" s="4">
        <f>H11-F11</f>
        <v/>
      </c>
      <c r="H11" s="4">
        <f>D11*E11</f>
        <v/>
      </c>
      <c r="I11" s="2" t="inlineStr">
        <is>
          <t>у воды — без экономии</t>
        </is>
      </c>
    </row>
    <row r="12">
      <c r="A12" s="2" t="inlineStr">
        <is>
          <t>03 Фундамент</t>
        </is>
      </c>
      <c r="B12" s="2" t="inlineStr">
        <is>
          <t>ЭППС 100 мм под плитой и по периметру</t>
        </is>
      </c>
      <c r="C12" s="2" t="inlineStr">
        <is>
          <t>м²</t>
        </is>
      </c>
      <c r="D12" s="9" t="n">
        <v>565</v>
      </c>
      <c r="E12" s="4" t="n">
        <v>1300</v>
      </c>
      <c r="F12" s="4">
        <f>H12*0.75</f>
        <v/>
      </c>
      <c r="G12" s="4">
        <f>H12-F12</f>
        <v/>
      </c>
      <c r="H12" s="4">
        <f>D12*E12</f>
        <v/>
      </c>
      <c r="I12" s="2" t="inlineStr">
        <is>
          <t>рынок МО</t>
        </is>
      </c>
    </row>
    <row r="13">
      <c r="A13" s="2" t="inlineStr">
        <is>
          <t>03 Фундамент</t>
        </is>
      </c>
      <c r="B13" s="2" t="inlineStr">
        <is>
          <t>Монолитная плита 300 мм на сваях, В25 W8 F150, А500 ≈ 115 кг/м³ (пол 1 этажа)</t>
        </is>
      </c>
      <c r="C13" s="2" t="inlineStr">
        <is>
          <t>м³</t>
        </is>
      </c>
      <c r="D13" s="9" t="n">
        <v>154.1</v>
      </c>
      <c r="E13" s="4" t="n">
        <v>27000</v>
      </c>
      <c r="F13" s="4">
        <f>H13*0.62</f>
        <v/>
      </c>
      <c r="G13" s="4">
        <f>H13-F13</f>
        <v/>
      </c>
      <c r="H13" s="4">
        <f>D13*E13</f>
        <v/>
      </c>
      <c r="I13" s="2" t="inlineStr">
        <is>
          <t>бетон 8–8,5 тыс./м³, арматура 85 тыс./т, работы 7–9 тыс./м³</t>
        </is>
      </c>
    </row>
    <row r="14">
      <c r="A14" s="2" t="inlineStr">
        <is>
          <t>03 Фундамент</t>
        </is>
      </c>
      <c r="B14" s="2" t="inlineStr">
        <is>
          <t>Цокольное перекрытие (в ЭП-смете отдельно 4,0 млн; при плите на сваях не нужно)</t>
        </is>
      </c>
      <c r="C14" s="2" t="inlineStr">
        <is>
          <t>м²</t>
        </is>
      </c>
      <c r="D14" s="9" t="n">
        <v>513.5700000000001</v>
      </c>
      <c r="E14" s="4" t="n">
        <v>7800</v>
      </c>
      <c r="F14" s="4">
        <f>H14*0.6</f>
        <v/>
      </c>
      <c r="G14" s="4">
        <f>H14-F14</f>
        <v/>
      </c>
      <c r="H14" s="4">
        <f>D14*E14</f>
        <v/>
      </c>
      <c r="I14" s="2" t="inlineStr">
        <is>
          <t>дублирование в смете ЭП — исключено в B/C</t>
        </is>
      </c>
    </row>
    <row r="15">
      <c r="A15" s="2" t="inlineStr">
        <is>
          <t>03 Фундамент</t>
        </is>
      </c>
      <c r="B15" s="2" t="inlineStr">
        <is>
          <t>Закладные, гильзы, выпуски (по ведомости закладных)</t>
        </is>
      </c>
      <c r="C15" s="2" t="inlineStr">
        <is>
          <t>компл</t>
        </is>
      </c>
      <c r="D15" s="9" t="n">
        <v>1</v>
      </c>
      <c r="E15" s="4" t="n">
        <v>350000</v>
      </c>
      <c r="F15" s="4">
        <f>H15*0.5</f>
        <v/>
      </c>
      <c r="G15" s="4">
        <f>H15-F15</f>
        <v/>
      </c>
      <c r="H15" s="4">
        <f>D15*E15</f>
        <v/>
      </c>
      <c r="I15" s="2" t="inlineStr">
        <is>
          <t>аналог БР-ЗК</t>
        </is>
      </c>
    </row>
    <row r="16">
      <c r="A16" s="2" t="inlineStr">
        <is>
          <t>04 Каркас и перекрытия</t>
        </is>
      </c>
      <c r="B16" s="2" t="inlineStr">
        <is>
          <t>Колонны 1 этажа: стальные с огнезащитой R150 (A) / монолит ЖБ 400×400 (B, C)</t>
        </is>
      </c>
      <c r="C16" s="2" t="inlineStr">
        <is>
          <t>шт</t>
        </is>
      </c>
      <c r="D16" s="9" t="n">
        <v>14</v>
      </c>
      <c r="E16" s="4" t="n">
        <v>210000</v>
      </c>
      <c r="F16" s="4">
        <f>H16*0.55</f>
        <v/>
      </c>
      <c r="G16" s="4">
        <f>H16-F16</f>
        <v/>
      </c>
      <c r="H16" s="4">
        <f>D16*E16</f>
        <v/>
      </c>
      <c r="I16" s="2" t="inlineStr">
        <is>
          <t>R150 для стали — 1,5–3 тыс./м² поверхности; ЖБ обеспечивает сам</t>
        </is>
      </c>
    </row>
    <row r="17">
      <c r="A17" s="2" t="inlineStr">
        <is>
          <t>04 Каркас и перекрытия</t>
        </is>
      </c>
      <c r="B17" s="2" t="inlineStr">
        <is>
          <t>Межэтажное и под плоскую кровлю: монолит ЖБ плита 200 + рёбра 600 (A, B) / ПБ + монолитные участки (C)</t>
        </is>
      </c>
      <c r="C17" s="2" t="inlineStr">
        <is>
          <t>м²</t>
        </is>
      </c>
      <c r="D17" s="9" t="n">
        <v>798.74</v>
      </c>
      <c r="E17" s="4" t="n">
        <v>11500</v>
      </c>
      <c r="F17" s="4">
        <f>H17*0.55</f>
        <v/>
      </c>
      <c r="G17" s="4">
        <f>H17-F17</f>
        <v/>
      </c>
      <c r="H17" s="4">
        <f>D17*E17</f>
        <v/>
      </c>
      <c r="I17" s="2" t="inlineStr">
        <is>
          <t>монолит 10,5–12,5 тыс.; ПБ 5,5–7 тыс.</t>
        </is>
      </c>
    </row>
    <row r="18">
      <c r="A18" s="2" t="inlineStr">
        <is>
          <t>04 Каркас и перекрытия</t>
        </is>
      </c>
      <c r="B18" s="2" t="inlineStr">
        <is>
          <t>Зимнее бетонирование (прогрев, тепляк) — если перекрытие попадает на ноябрь–март</t>
        </is>
      </c>
      <c r="C18" s="2" t="inlineStr">
        <is>
          <t>м²</t>
        </is>
      </c>
      <c r="D18" s="9" t="n">
        <v>798.74</v>
      </c>
      <c r="E18" s="4" t="n">
        <v>900</v>
      </c>
      <c r="F18" s="4">
        <f>H18*0.3</f>
        <v/>
      </c>
      <c r="G18" s="4">
        <f>H18-F18</f>
        <v/>
      </c>
      <c r="H18" s="4">
        <f>D18*E18</f>
        <v/>
      </c>
      <c r="I18" s="2" t="inlineStr">
        <is>
          <t>B, C — бетонирование в тёплый сезон по ПОС</t>
        </is>
      </c>
    </row>
    <row r="19">
      <c r="A19" s="2" t="inlineStr">
        <is>
          <t>04 Каркас и перекрытия</t>
        </is>
      </c>
      <c r="B19" s="2" t="inlineStr">
        <is>
          <t>Армопояса, перемычки, монолитные участки</t>
        </is>
      </c>
      <c r="C19" s="2" t="inlineStr">
        <is>
          <t>м³</t>
        </is>
      </c>
      <c r="D19" s="9" t="n">
        <v>40</v>
      </c>
      <c r="E19" s="4" t="n">
        <v>32000</v>
      </c>
      <c r="F19" s="4">
        <f>H19*0.55</f>
        <v/>
      </c>
      <c r="G19" s="4">
        <f>H19-F19</f>
        <v/>
      </c>
      <c r="H19" s="4">
        <f>D19*E19</f>
        <v/>
      </c>
      <c r="I19" s="2" t="inlineStr">
        <is>
          <t>рынок МО</t>
        </is>
      </c>
    </row>
    <row r="20">
      <c r="A20" s="2" t="inlineStr">
        <is>
          <t>04 Каркас и перекрытия</t>
        </is>
      </c>
      <c r="B20" s="2" t="inlineStr">
        <is>
          <t>Монолитная лестница 012 с ограждением</t>
        </is>
      </c>
      <c r="C20" s="2" t="inlineStr">
        <is>
          <t>компл</t>
        </is>
      </c>
      <c r="D20" s="9" t="n">
        <v>1</v>
      </c>
      <c r="E20" s="4" t="n">
        <v>650000</v>
      </c>
      <c r="F20" s="4">
        <f>H20*0.5</f>
        <v/>
      </c>
      <c r="G20" s="4">
        <f>H20-F20</f>
        <v/>
      </c>
      <c r="H20" s="4">
        <f>D20*E20</f>
        <v/>
      </c>
      <c r="I20" s="2" t="inlineStr">
        <is>
          <t>1 лестница 2 марша</t>
        </is>
      </c>
    </row>
    <row r="21">
      <c r="A21" s="2" t="inlineStr">
        <is>
          <t>05 Стены и перегородки</t>
        </is>
      </c>
      <c r="B21" s="2" t="inlineStr">
        <is>
          <t>Наружные стены газобетон D500 400 мм (блок, клей, армирование, кладка)</t>
        </is>
      </c>
      <c r="C21" s="2" t="inlineStr">
        <is>
          <t>м³</t>
        </is>
      </c>
      <c r="D21" s="9" t="n">
        <v>309.14</v>
      </c>
      <c r="E21" s="4" t="n">
        <v>13500</v>
      </c>
      <c r="F21" s="4">
        <f>H21*0.6</f>
        <v/>
      </c>
      <c r="G21" s="4">
        <f>H21-F21</f>
        <v/>
      </c>
      <c r="H21" s="4">
        <f>D21*E21</f>
        <v/>
      </c>
      <c r="I21" s="2" t="inlineStr">
        <is>
          <t>рынок 11,5–15,5 тыс.</t>
        </is>
      </c>
    </row>
    <row r="22">
      <c r="A22" s="2" t="inlineStr">
        <is>
          <t>05 Стены и перегородки</t>
        </is>
      </c>
      <c r="B22" s="2" t="inlineStr">
        <is>
          <t>Внутренние стены газобетон 300 мм</t>
        </is>
      </c>
      <c r="C22" s="2" t="inlineStr">
        <is>
          <t>м³</t>
        </is>
      </c>
      <c r="D22" s="9" t="n">
        <v>153.54</v>
      </c>
      <c r="E22" s="4" t="n">
        <v>13500</v>
      </c>
      <c r="F22" s="4">
        <f>H22*0.6</f>
        <v/>
      </c>
      <c r="G22" s="4">
        <f>H22-F22</f>
        <v/>
      </c>
      <c r="H22" s="4">
        <f>D22*E22</f>
        <v/>
      </c>
      <c r="I22" s="2" t="inlineStr">
        <is>
          <t>рынок 11,5–15,5 тыс.</t>
        </is>
      </c>
    </row>
    <row r="23">
      <c r="A23" s="2" t="inlineStr">
        <is>
          <t>05 Стены и перегородки</t>
        </is>
      </c>
      <c r="B23" s="2" t="inlineStr">
        <is>
          <t>Перегородки газобетон 150 мм</t>
        </is>
      </c>
      <c r="C23" s="2" t="inlineStr">
        <is>
          <t>м³</t>
        </is>
      </c>
      <c r="D23" s="9" t="n">
        <v>57.47</v>
      </c>
      <c r="E23" s="4" t="n">
        <v>15000</v>
      </c>
      <c r="F23" s="4">
        <f>H23*0.6</f>
        <v/>
      </c>
      <c r="G23" s="4">
        <f>H23-F23</f>
        <v/>
      </c>
      <c r="H23" s="4">
        <f>D23*E23</f>
        <v/>
      </c>
      <c r="I23" s="2" t="inlineStr">
        <is>
          <t>мелкий блок дороже на м³</t>
        </is>
      </c>
    </row>
    <row r="24">
      <c r="A24" s="2" t="inlineStr">
        <is>
          <t>05 Стены и перегородки</t>
        </is>
      </c>
      <c r="B24" s="2" t="inlineStr">
        <is>
          <t>Противопожарные стены гараж/лестница, тамбур-шлюз (EI 150, двери EI 60)</t>
        </is>
      </c>
      <c r="C24" s="2" t="inlineStr">
        <is>
          <t>компл</t>
        </is>
      </c>
      <c r="D24" s="9" t="n">
        <v>1</v>
      </c>
      <c r="E24" s="4" t="n">
        <v>450000</v>
      </c>
      <c r="F24" s="4">
        <f>H24*0.6</f>
        <v/>
      </c>
      <c r="G24" s="4">
        <f>H24-F24</f>
        <v/>
      </c>
      <c r="H24" s="4">
        <f>D24*E24</f>
        <v/>
      </c>
      <c r="I24" s="2" t="inlineStr">
        <is>
          <t>СП 4.13130 — требование раздела ПБ</t>
        </is>
      </c>
    </row>
    <row r="25">
      <c r="A25" s="2" t="inlineStr">
        <is>
          <t>06 Кровля</t>
        </is>
      </c>
      <c r="B25" s="2" t="inlineStr">
        <is>
          <t>Чердачное перекрытие деревянное утеплённое 250 мм</t>
        </is>
      </c>
      <c r="C25" s="2" t="inlineStr">
        <is>
          <t>м²</t>
        </is>
      </c>
      <c r="D25" s="9" t="n">
        <v>473.73</v>
      </c>
      <c r="E25" s="4" t="n">
        <v>7200</v>
      </c>
      <c r="F25" s="4">
        <f>H25*0.6</f>
        <v/>
      </c>
      <c r="G25" s="4">
        <f>H25-F25</f>
        <v/>
      </c>
      <c r="H25" s="4">
        <f>D25*E25</f>
        <v/>
      </c>
      <c r="I25" s="2" t="inlineStr">
        <is>
          <t>рынок 6–8,5 тыс.</t>
        </is>
      </c>
    </row>
    <row r="26">
      <c r="A26" s="2" t="inlineStr">
        <is>
          <t>06 Кровля</t>
        </is>
      </c>
      <c r="B26" s="2" t="inlineStr">
        <is>
          <t>Скатная кровля: стропила, ОСП, мембраны, кликфальц, водосток, снегозадержание</t>
        </is>
      </c>
      <c r="C26" s="2" t="inlineStr">
        <is>
          <t>м²</t>
        </is>
      </c>
      <c r="D26" s="9" t="n">
        <v>570.9299999999999</v>
      </c>
      <c r="E26" s="4" t="n">
        <v>11500</v>
      </c>
      <c r="F26" s="4">
        <f>H26*0.6</f>
        <v/>
      </c>
      <c r="G26" s="4">
        <f>H26-F26</f>
        <v/>
      </c>
      <c r="H26" s="4">
        <f>D26*E26</f>
        <v/>
      </c>
      <c r="I26" s="2" t="inlineStr">
        <is>
          <t>рынок 9–13 тыс.; СХ 19,6 тыс.</t>
        </is>
      </c>
    </row>
    <row r="27">
      <c r="A27" s="2" t="inlineStr">
        <is>
          <t>06 Кровля</t>
        </is>
      </c>
      <c r="B27" s="2" t="inlineStr">
        <is>
          <t>Плоская кровля: эксплуатируемая (A, B) / неэксплуатируемая (C)</t>
        </is>
      </c>
      <c r="C27" s="2" t="inlineStr">
        <is>
          <t>м²</t>
        </is>
      </c>
      <c r="D27" s="9" t="n">
        <v>233.34</v>
      </c>
      <c r="E27" s="4" t="n">
        <v>13300</v>
      </c>
      <c r="F27" s="4">
        <f>H27*0.6</f>
        <v/>
      </c>
      <c r="G27" s="4">
        <f>H27-F27</f>
        <v/>
      </c>
      <c r="H27" s="4">
        <f>D27*E27</f>
        <v/>
      </c>
      <c r="I27" s="2" t="inlineStr">
        <is>
          <t>рынок 9–16 тыс.</t>
        </is>
      </c>
    </row>
    <row r="28">
      <c r="A28" s="2" t="inlineStr">
        <is>
          <t>06 Кровля</t>
        </is>
      </c>
      <c r="B28" s="2" t="inlineStr">
        <is>
          <t>Каркасные фронтоны</t>
        </is>
      </c>
      <c r="C28" s="2" t="inlineStr">
        <is>
          <t>м²</t>
        </is>
      </c>
      <c r="D28" s="9" t="n">
        <v>186.21</v>
      </c>
      <c r="E28" s="4" t="n">
        <v>5500</v>
      </c>
      <c r="F28" s="4">
        <f>H28*0.6</f>
        <v/>
      </c>
      <c r="G28" s="4">
        <f>H28-F28</f>
        <v/>
      </c>
      <c r="H28" s="4">
        <f>D28*E28</f>
        <v/>
      </c>
      <c r="I28" s="2" t="inlineStr">
        <is>
          <t>рынок МО</t>
        </is>
      </c>
    </row>
    <row r="29">
      <c r="A29" s="2" t="inlineStr">
        <is>
          <t>07 Фасады</t>
        </is>
      </c>
      <c r="B29" s="2" t="inlineStr">
        <is>
          <t>Утепление вентфасада минвата 100 мм + ветрозащита + подсистема</t>
        </is>
      </c>
      <c r="C29" s="2" t="inlineStr">
        <is>
          <t>м²</t>
        </is>
      </c>
      <c r="D29" s="9" t="n">
        <v>1310</v>
      </c>
      <c r="E29" s="4" t="n">
        <v>2600</v>
      </c>
      <c r="F29" s="4">
        <f>H29*0.55</f>
        <v/>
      </c>
      <c r="G29" s="4">
        <f>H29-F29</f>
        <v/>
      </c>
      <c r="H29" s="4">
        <f>D29*E29</f>
        <v/>
      </c>
      <c r="I29" s="2" t="inlineStr">
        <is>
          <t>подсистема 1,2–1,5 + утеплитель 1,0</t>
        </is>
      </c>
    </row>
    <row r="30">
      <c r="A30" s="2" t="inlineStr">
        <is>
          <t>07 Фасады</t>
        </is>
      </c>
      <c r="B30" s="2" t="inlineStr">
        <is>
          <t>Облицовка натуральным сланцем (A 490 м²; B, C — акцент 150 м²)</t>
        </is>
      </c>
      <c r="C30" s="2" t="inlineStr">
        <is>
          <t>м²</t>
        </is>
      </c>
      <c r="D30" s="9" t="n">
        <v>490</v>
      </c>
      <c r="E30" s="4" t="n">
        <v>10500</v>
      </c>
      <c r="F30" s="4">
        <f>H30*0.6</f>
        <v/>
      </c>
      <c r="G30" s="4">
        <f>H30-F30</f>
        <v/>
      </c>
      <c r="H30" s="4">
        <f>D30*E30</f>
        <v/>
      </c>
      <c r="I30" s="2" t="inlineStr">
        <is>
          <t>рынок 8–13 тыс.</t>
        </is>
      </c>
    </row>
    <row r="31">
      <c r="A31" s="2" t="inlineStr">
        <is>
          <t>07 Фасады</t>
        </is>
      </c>
      <c r="B31" s="2" t="inlineStr">
        <is>
          <t>Облицовка сланцем — акцентные плоскости (вход, торец к воде)</t>
        </is>
      </c>
      <c r="C31" s="2" t="inlineStr">
        <is>
          <t>м²</t>
        </is>
      </c>
      <c r="D31" s="9" t="n">
        <v>150</v>
      </c>
      <c r="E31" s="4" t="n">
        <v>0</v>
      </c>
      <c r="F31" s="4">
        <f>H31*0.6</f>
        <v/>
      </c>
      <c r="G31" s="4">
        <f>H31-F31</f>
        <v/>
      </c>
      <c r="H31" s="4">
        <f>D31*E31</f>
        <v/>
      </c>
      <c r="I31" s="2" t="inlineStr">
        <is>
          <t>рычаг 3</t>
        </is>
      </c>
    </row>
    <row r="32">
      <c r="A32" s="2" t="inlineStr">
        <is>
          <t>07 Фасады</t>
        </is>
      </c>
      <c r="B32" s="2" t="inlineStr">
        <is>
          <t>Планкен лиственница с обработкой (A 600 м²; B, C — 940 м²)</t>
        </is>
      </c>
      <c r="C32" s="2" t="inlineStr">
        <is>
          <t>м²</t>
        </is>
      </c>
      <c r="D32" s="9" t="n">
        <v>600</v>
      </c>
      <c r="E32" s="4" t="n">
        <v>6500</v>
      </c>
      <c r="F32" s="4">
        <f>H32*0.6</f>
        <v/>
      </c>
      <c r="G32" s="4">
        <f>H32-F32</f>
        <v/>
      </c>
      <c r="H32" s="4">
        <f>D32*E32</f>
        <v/>
      </c>
      <c r="I32" s="2" t="inlineStr">
        <is>
          <t>рынок 6,4–9,9 тыс.</t>
        </is>
      </c>
    </row>
    <row r="33">
      <c r="A33" s="2" t="inlineStr">
        <is>
          <t>07 Фасады</t>
        </is>
      </c>
      <c r="B33" s="2" t="inlineStr">
        <is>
          <t>Планкен лиственница с обработкой — основной материал</t>
        </is>
      </c>
      <c r="C33" s="2" t="inlineStr">
        <is>
          <t>м²</t>
        </is>
      </c>
      <c r="D33" s="9" t="n">
        <v>940</v>
      </c>
      <c r="E33" s="4" t="n">
        <v>0</v>
      </c>
      <c r="F33" s="4">
        <f>H33*0.6</f>
        <v/>
      </c>
      <c r="G33" s="4">
        <f>H33-F33</f>
        <v/>
      </c>
      <c r="H33" s="4">
        <f>D33*E33</f>
        <v/>
      </c>
      <c r="I33" s="2" t="inlineStr">
        <is>
          <t>рычаг 3</t>
        </is>
      </c>
    </row>
    <row r="34">
      <c r="A34" s="2" t="inlineStr">
        <is>
          <t>07 Фасады</t>
        </is>
      </c>
      <c r="B34" s="2" t="inlineStr">
        <is>
          <t>Фасадный фальц</t>
        </is>
      </c>
      <c r="C34" s="2" t="inlineStr">
        <is>
          <t>м²</t>
        </is>
      </c>
      <c r="D34" s="9" t="n">
        <v>220</v>
      </c>
      <c r="E34" s="4" t="n">
        <v>6500</v>
      </c>
      <c r="F34" s="4">
        <f>H34*0.6</f>
        <v/>
      </c>
      <c r="G34" s="4">
        <f>H34-F34</f>
        <v/>
      </c>
      <c r="H34" s="4">
        <f>D34*E34</f>
        <v/>
      </c>
      <c r="I34" s="2" t="inlineStr">
        <is>
          <t>рынок 4,5–7,5 тыс.</t>
        </is>
      </c>
    </row>
    <row r="35">
      <c r="A35" s="2" t="inlineStr">
        <is>
          <t>07 Фасады</t>
        </is>
      </c>
      <c r="B35" s="2" t="inlineStr">
        <is>
          <t>Цоколь: облицовка, отмостка 1,0 м с утеплением</t>
        </is>
      </c>
      <c r="C35" s="2" t="inlineStr">
        <is>
          <t>м.п.</t>
        </is>
      </c>
      <c r="D35" s="9" t="n">
        <v>104</v>
      </c>
      <c r="E35" s="4" t="n">
        <v>9000</v>
      </c>
      <c r="F35" s="4">
        <f>H35*0.55</f>
        <v/>
      </c>
      <c r="G35" s="4">
        <f>H35-F35</f>
        <v/>
      </c>
      <c r="H35" s="4">
        <f>D35*E35</f>
        <v/>
      </c>
      <c r="I35" s="2" t="inlineStr">
        <is>
          <t>периметр ≈ 104 м</t>
        </is>
      </c>
    </row>
    <row r="36">
      <c r="A36" s="2" t="inlineStr">
        <is>
          <t>08 Окна, витражи, ворота</t>
        </is>
      </c>
      <c r="B36" s="2" t="inlineStr">
        <is>
          <t>Тёплые алюминиевые витражи: Schüco-уровень (A) / Alutech W72 (B, C)</t>
        </is>
      </c>
      <c r="C36" s="2" t="inlineStr">
        <is>
          <t>м²</t>
        </is>
      </c>
      <c r="D36" s="9" t="n">
        <v>170.64</v>
      </c>
      <c r="E36" s="4" t="n">
        <v>33000</v>
      </c>
      <c r="F36" s="4">
        <f>H36*0.75</f>
        <v/>
      </c>
      <c r="G36" s="4">
        <f>H36-F36</f>
        <v/>
      </c>
      <c r="H36" s="4">
        <f>D36*E36</f>
        <v/>
      </c>
      <c r="I36" s="2" t="inlineStr">
        <is>
          <t>Alutech под ключ 19–27 тыс.</t>
        </is>
      </c>
    </row>
    <row r="37">
      <c r="A37" s="2" t="inlineStr">
        <is>
          <t>08 Окна, витражи, ворота</t>
        </is>
      </c>
      <c r="B37" s="2" t="inlineStr">
        <is>
          <t>Окна ПВХ (Rehau/Veka класс А, R 0,8)</t>
        </is>
      </c>
      <c r="C37" s="2" t="inlineStr">
        <is>
          <t>м²</t>
        </is>
      </c>
      <c r="D37" s="9" t="n">
        <v>60</v>
      </c>
      <c r="E37" s="4" t="n">
        <v>20000</v>
      </c>
      <c r="F37" s="4">
        <f>H37*0.75</f>
        <v/>
      </c>
      <c r="G37" s="4">
        <f>H37-F37</f>
        <v/>
      </c>
      <c r="H37" s="4">
        <f>D37*E37</f>
        <v/>
      </c>
      <c r="I37" s="2" t="inlineStr">
        <is>
          <t>рынок 12–18 тыс.</t>
        </is>
      </c>
    </row>
    <row r="38">
      <c r="A38" s="2" t="inlineStr">
        <is>
          <t>08 Окна, витражи, ворота</t>
        </is>
      </c>
      <c r="B38" s="2" t="inlineStr">
        <is>
          <t>Откосы, отливы, подоконники</t>
        </is>
      </c>
      <c r="C38" s="2" t="inlineStr">
        <is>
          <t>м²</t>
        </is>
      </c>
      <c r="D38" s="9" t="n">
        <v>230.64</v>
      </c>
      <c r="E38" s="4" t="n">
        <v>2500</v>
      </c>
      <c r="F38" s="4">
        <f>H38*0.5</f>
        <v/>
      </c>
      <c r="G38" s="4">
        <f>H38-F38</f>
        <v/>
      </c>
      <c r="H38" s="4">
        <f>D38*E38</f>
        <v/>
      </c>
      <c r="I38" s="2" t="inlineStr">
        <is>
          <t>рынок МО</t>
        </is>
      </c>
    </row>
    <row r="39">
      <c r="A39" s="2" t="inlineStr">
        <is>
          <t>08 Окна, витражи, ворота</t>
        </is>
      </c>
      <c r="B39" s="2" t="inlineStr">
        <is>
          <t>Ворота гаражные секционные утеплённые с автоматикой 3.5×2.6 м</t>
        </is>
      </c>
      <c r="C39" s="2" t="inlineStr">
        <is>
          <t>шт</t>
        </is>
      </c>
      <c r="D39" s="9" t="n">
        <v>8</v>
      </c>
      <c r="E39" s="4" t="n">
        <v>260000</v>
      </c>
      <c r="F39" s="4">
        <f>H39*0.85</f>
        <v/>
      </c>
      <c r="G39" s="4">
        <f>H39-F39</f>
        <v/>
      </c>
      <c r="H39" s="4">
        <f>D39*E39</f>
        <v/>
      </c>
      <c r="I39" s="2" t="inlineStr">
        <is>
          <t>Doorhan/Alutech с приводом</t>
        </is>
      </c>
    </row>
    <row r="40">
      <c r="A40" s="2" t="inlineStr">
        <is>
          <t>08 Окна, витражи, ворота</t>
        </is>
      </c>
      <c r="B40" s="2" t="inlineStr">
        <is>
          <t>Ворота эллинга подъёмно-секционные (под катер на прицепе) 4.5×3.6 м</t>
        </is>
      </c>
      <c r="C40" s="2" t="inlineStr">
        <is>
          <t>шт</t>
        </is>
      </c>
      <c r="D40" s="9" t="n">
        <v>1</v>
      </c>
      <c r="E40" s="4" t="n">
        <v>650000</v>
      </c>
      <c r="F40" s="4">
        <f>H40*0.85</f>
        <v/>
      </c>
      <c r="G40" s="4">
        <f>H40-F40</f>
        <v/>
      </c>
      <c r="H40" s="4">
        <f>D40*E40</f>
        <v/>
      </c>
      <c r="I40" s="2" t="inlineStr">
        <is>
          <t>нестандарт, усиленный привод</t>
        </is>
      </c>
    </row>
    <row r="41">
      <c r="A41" s="2" t="inlineStr">
        <is>
          <t>08 Окна, витражи, ворота</t>
        </is>
      </c>
      <c r="B41" s="2" t="inlineStr">
        <is>
          <t>Двери наружные металлические утеплённые</t>
        </is>
      </c>
      <c r="C41" s="2" t="inlineStr">
        <is>
          <t>шт</t>
        </is>
      </c>
      <c r="D41" s="9" t="n">
        <v>6</v>
      </c>
      <c r="E41" s="4" t="n">
        <v>75000</v>
      </c>
      <c r="F41" s="4">
        <f>H41*0.8</f>
        <v/>
      </c>
      <c r="G41" s="4">
        <f>H41-F41</f>
        <v/>
      </c>
      <c r="H41" s="4">
        <f>D41*E41</f>
        <v/>
      </c>
      <c r="I41" s="2" t="inlineStr">
        <is>
          <t>рынок МО</t>
        </is>
      </c>
    </row>
    <row r="42">
      <c r="A42" s="2" t="inlineStr">
        <is>
          <t>08 Окна, витражи, ворота</t>
        </is>
      </c>
      <c r="B42" s="2" t="inlineStr">
        <is>
          <t>Входная группа КПП (алюминий, домофон, доводчик)</t>
        </is>
      </c>
      <c r="C42" s="2" t="inlineStr">
        <is>
          <t>компл</t>
        </is>
      </c>
      <c r="D42" s="9" t="n">
        <v>1</v>
      </c>
      <c r="E42" s="4" t="n">
        <v>350000</v>
      </c>
      <c r="F42" s="4">
        <f>H42*0.8</f>
        <v/>
      </c>
      <c r="G42" s="4">
        <f>H42-F42</f>
        <v/>
      </c>
      <c r="H42" s="4">
        <f>D42*E42</f>
        <v/>
      </c>
      <c r="I42" s="2" t="inlineStr">
        <is>
          <t>рынок МО</t>
        </is>
      </c>
    </row>
    <row r="43">
      <c r="A43" s="2" t="inlineStr">
        <is>
          <t>09 Наружные МК</t>
        </is>
      </c>
      <c r="B43" s="2" t="inlineStr">
        <is>
          <t>Наружная эвакуационная лестница 3-го типа со 2 этажа</t>
        </is>
      </c>
      <c r="C43" s="2" t="inlineStr">
        <is>
          <t>компл</t>
        </is>
      </c>
      <c r="D43" s="9" t="n">
        <v>1</v>
      </c>
      <c r="E43" s="4" t="n">
        <v>950000</v>
      </c>
      <c r="F43" s="4">
        <f>H43*0.7</f>
        <v/>
      </c>
      <c r="G43" s="4">
        <f>H43-F43</f>
        <v/>
      </c>
      <c r="H43" s="4">
        <f>D43*E43</f>
        <v/>
      </c>
      <c r="I43" s="2" t="inlineStr">
        <is>
          <t>второй эвакуационный выход Ф1.2</t>
        </is>
      </c>
    </row>
    <row r="44">
      <c r="A44" s="2" t="inlineStr">
        <is>
          <t>09 Наружные МК</t>
        </is>
      </c>
      <c r="B44" s="2" t="inlineStr">
        <is>
          <t>Навесы, ограждения эксплуатируемой кровли, козырьки</t>
        </is>
      </c>
      <c r="C44" s="2" t="inlineStr">
        <is>
          <t>компл</t>
        </is>
      </c>
      <c r="D44" s="9" t="n">
        <v>1</v>
      </c>
      <c r="E44" s="4" t="n">
        <v>2200000</v>
      </c>
      <c r="F44" s="4">
        <f>H44*0.7</f>
        <v/>
      </c>
      <c r="G44" s="4">
        <f>H44-F44</f>
        <v/>
      </c>
      <c r="H44" s="4">
        <f>D44*E44</f>
        <v/>
      </c>
      <c r="I44" s="2" t="inlineStr">
        <is>
          <t>без спецификации — по ведомости архитектора</t>
        </is>
      </c>
    </row>
    <row r="45">
      <c r="A45" s="2" t="inlineStr">
        <is>
          <t>10 Отделка черновая</t>
        </is>
      </c>
      <c r="B45" s="2" t="inlineStr">
        <is>
          <t>Техзона: упрочнённый пол (топпинг), обеспыливание стен и потолков, покраска</t>
        </is>
      </c>
      <c r="C45" s="2" t="inlineStr">
        <is>
          <t>м²</t>
        </is>
      </c>
      <c r="D45" s="9" t="n">
        <v>379.01</v>
      </c>
      <c r="E45" s="4" t="n">
        <v>11400</v>
      </c>
      <c r="F45" s="4">
        <f>H45*0.45</f>
        <v/>
      </c>
      <c r="G45" s="4">
        <f>H45-F45</f>
        <v/>
      </c>
      <c r="H45" s="4">
        <f>D45*E45</f>
        <v/>
      </c>
      <c r="I45" s="2" t="inlineStr">
        <is>
          <t>A — единая ставка ЭП-сметы</t>
        </is>
      </c>
    </row>
    <row r="46">
      <c r="A46" s="2" t="inlineStr">
        <is>
          <t>10 Отделка черновая</t>
        </is>
      </c>
      <c r="B46" s="2" t="inlineStr">
        <is>
          <t>Служебные, проживание, МОП: стяжка, штукатурка, ГКЛ, подготовка</t>
        </is>
      </c>
      <c r="C46" s="2" t="inlineStr">
        <is>
          <t>м²</t>
        </is>
      </c>
      <c r="D46" s="9" t="n">
        <v>473.38</v>
      </c>
      <c r="E46" s="4" t="n">
        <v>11400</v>
      </c>
      <c r="F46" s="4">
        <f>H46*0.45</f>
        <v/>
      </c>
      <c r="G46" s="4">
        <f>H46-F46</f>
        <v/>
      </c>
      <c r="H46" s="4">
        <f>D46*E46</f>
        <v/>
      </c>
      <c r="I46" s="2" t="inlineStr">
        <is>
          <t>рынок 8–14 тыс.</t>
        </is>
      </c>
    </row>
    <row r="47">
      <c r="A47" s="2" t="inlineStr">
        <is>
          <t>10 Отделка черновая</t>
        </is>
      </c>
      <c r="B47" s="2" t="inlineStr">
        <is>
          <t>Спортзал: стяжка с виброразвязкой, акустическая подготовка</t>
        </is>
      </c>
      <c r="C47" s="2" t="inlineStr">
        <is>
          <t>м²</t>
        </is>
      </c>
      <c r="D47" s="9" t="n">
        <v>109.15</v>
      </c>
      <c r="E47" s="4" t="n">
        <v>11400</v>
      </c>
      <c r="F47" s="4">
        <f>H47*0.5</f>
        <v/>
      </c>
      <c r="G47" s="4">
        <f>H47-F47</f>
        <v/>
      </c>
      <c r="H47" s="4">
        <f>D47*E47</f>
        <v/>
      </c>
      <c r="I47" s="2" t="inlineStr">
        <is>
          <t>свободные веса</t>
        </is>
      </c>
    </row>
    <row r="48">
      <c r="A48" s="2" t="inlineStr">
        <is>
          <t>11 Отделка чистовая</t>
        </is>
      </c>
      <c r="B48" s="2" t="inlineStr">
        <is>
          <t>Техзона: разметка, отбойники, полимерные полы в эллинге и котельной</t>
        </is>
      </c>
      <c r="C48" s="2" t="inlineStr">
        <is>
          <t>м²</t>
        </is>
      </c>
      <c r="D48" s="9" t="n">
        <v>379.01</v>
      </c>
      <c r="E48" s="4" t="n">
        <v>23850</v>
      </c>
      <c r="F48" s="4">
        <f>H48*0.6</f>
        <v/>
      </c>
      <c r="G48" s="4">
        <f>H48-F48</f>
        <v/>
      </c>
      <c r="H48" s="4">
        <f>D48*E48</f>
        <v/>
      </c>
      <c r="I48" s="2" t="inlineStr">
        <is>
          <t>A — единая ставка ЭП</t>
        </is>
      </c>
    </row>
    <row r="49">
      <c r="A49" s="2" t="inlineStr">
        <is>
          <t>11 Отделка чистовая</t>
        </is>
      </c>
      <c r="B49" s="2" t="inlineStr">
        <is>
          <t>Служебные и проживание: кварцвинил, керамогранит в с/у, покраска, Армстронг/натяжные, межкомнатные двери</t>
        </is>
      </c>
      <c r="C49" s="2" t="inlineStr">
        <is>
          <t>м²</t>
        </is>
      </c>
      <c r="D49" s="9" t="n">
        <v>473.38</v>
      </c>
      <c r="E49" s="4" t="n">
        <v>23850</v>
      </c>
      <c r="F49" s="4">
        <f>H49*0.6</f>
        <v/>
      </c>
      <c r="G49" s="4">
        <f>H49-F49</f>
        <v/>
      </c>
      <c r="H49" s="4">
        <f>D49*E49</f>
        <v/>
      </c>
      <c r="I49" s="2" t="inlineStr">
        <is>
          <t>минимальный стандарт — решение 05.10; C — shell &amp; core</t>
        </is>
      </c>
    </row>
    <row r="50">
      <c r="A50" s="2" t="inlineStr">
        <is>
          <t>11 Отделка чистовая</t>
        </is>
      </c>
      <c r="B50" s="2" t="inlineStr">
        <is>
          <t>Спортзал: спортивное покрытие, акустика, зеркала, раздевалка</t>
        </is>
      </c>
      <c r="C50" s="2" t="inlineStr">
        <is>
          <t>м²</t>
        </is>
      </c>
      <c r="D50" s="9" t="n">
        <v>109.15</v>
      </c>
      <c r="E50" s="4" t="n">
        <v>23850</v>
      </c>
      <c r="F50" s="4">
        <f>H50*0.65</f>
        <v/>
      </c>
      <c r="G50" s="4">
        <f>H50-F50</f>
        <v/>
      </c>
      <c r="H50" s="4">
        <f>D50*E50</f>
        <v/>
      </c>
      <c r="I50" s="2" t="inlineStr">
        <is>
          <t>по ТЗ интересантов, без лимита</t>
        </is>
      </c>
    </row>
    <row r="51">
      <c r="A51" s="2" t="inlineStr">
        <is>
          <t>11 Отделка чистовая</t>
        </is>
      </c>
      <c r="B51" s="2" t="inlineStr">
        <is>
          <t>Внутренние ограждения, поручни, техметаллоизделия</t>
        </is>
      </c>
      <c r="C51" s="2" t="inlineStr">
        <is>
          <t>компл</t>
        </is>
      </c>
      <c r="D51" s="9" t="n">
        <v>1</v>
      </c>
      <c r="E51" s="4" t="n">
        <v>2000000</v>
      </c>
      <c r="F51" s="4">
        <f>H51*0.7</f>
        <v/>
      </c>
      <c r="G51" s="4">
        <f>H51-F51</f>
        <v/>
      </c>
      <c r="H51" s="4">
        <f>D51*E51</f>
        <v/>
      </c>
      <c r="I51" s="2" t="inlineStr">
        <is>
          <t>рынок МО</t>
        </is>
      </c>
    </row>
    <row r="52">
      <c r="A52" s="2" t="inlineStr">
        <is>
          <t>12 Отопление (ОВ)</t>
        </is>
      </c>
      <c r="B52" s="2" t="inlineStr">
        <is>
          <t>Котельная: пеллетный котёл 60 кВт + бункер, электрокотёл 24 кВт, буфер 1 000 л, обвязка, автоматика (Qрасч ≈ 61 кВт)</t>
        </is>
      </c>
      <c r="C52" s="2" t="inlineStr">
        <is>
          <t>компл</t>
        </is>
      </c>
      <c r="D52" s="9" t="n">
        <v>1</v>
      </c>
      <c r="E52" s="4" t="n">
        <v>2600000</v>
      </c>
      <c r="F52" s="4">
        <f>H52*0.75</f>
        <v/>
      </c>
      <c r="G52" s="4">
        <f>H52-F52</f>
        <v/>
      </c>
      <c r="H52" s="4">
        <f>D52*E52</f>
        <v/>
      </c>
      <c r="I52" s="2" t="inlineStr">
        <is>
          <t>аналог 291-ОВ «Ромарио»</t>
        </is>
      </c>
    </row>
    <row r="53">
      <c r="A53" s="2" t="inlineStr">
        <is>
          <t>12 Отопление (ОВ)</t>
        </is>
      </c>
      <c r="B53" s="2" t="inlineStr">
        <is>
          <t>Дымоход нержавеющий утеплённый Ø200, h ≈ 11 м</t>
        </is>
      </c>
      <c r="C53" s="2" t="inlineStr">
        <is>
          <t>компл</t>
        </is>
      </c>
      <c r="D53" s="9" t="n">
        <v>1</v>
      </c>
      <c r="E53" s="4" t="n">
        <v>280000</v>
      </c>
      <c r="F53" s="4">
        <f>H53*0.75</f>
        <v/>
      </c>
      <c r="G53" s="4">
        <f>H53-F53</f>
        <v/>
      </c>
      <c r="H53" s="4">
        <f>D53*E53</f>
        <v/>
      </c>
      <c r="I53" s="2" t="inlineStr">
        <is>
          <t>рынок</t>
        </is>
      </c>
    </row>
    <row r="54">
      <c r="A54" s="2" t="inlineStr">
        <is>
          <t>12 Отопление (ОВ)</t>
        </is>
      </c>
      <c r="B54" s="2" t="inlineStr">
        <is>
          <t>Тёплые полы водяные: проживание, МОП, спортзал</t>
        </is>
      </c>
      <c r="C54" s="2" t="inlineStr">
        <is>
          <t>м²</t>
        </is>
      </c>
      <c r="D54" s="9" t="n">
        <v>522.53</v>
      </c>
      <c r="E54" s="4" t="n">
        <v>2600</v>
      </c>
      <c r="F54" s="4">
        <f>H54*0.5</f>
        <v/>
      </c>
      <c r="G54" s="4">
        <f>H54-F54</f>
        <v/>
      </c>
      <c r="H54" s="4">
        <f>D54*E54</f>
        <v/>
      </c>
      <c r="I54" s="2" t="inlineStr">
        <is>
          <t>рынок МО</t>
        </is>
      </c>
    </row>
    <row r="55">
      <c r="A55" s="2" t="inlineStr">
        <is>
          <t>12 Отопление (ОВ)</t>
        </is>
      </c>
      <c r="B55" s="2" t="inlineStr">
        <is>
          <t>Конвекторы внутрипольные у витражей, радиаторы в с/у и КПП</t>
        </is>
      </c>
      <c r="C55" s="2" t="inlineStr">
        <is>
          <t>шт</t>
        </is>
      </c>
      <c r="D55" s="9" t="n">
        <v>28</v>
      </c>
      <c r="E55" s="4" t="n">
        <v>45000</v>
      </c>
      <c r="F55" s="4">
        <f>H55*0.75</f>
        <v/>
      </c>
      <c r="G55" s="4">
        <f>H55-F55</f>
        <v/>
      </c>
      <c r="H55" s="4">
        <f>D55*E55</f>
        <v/>
      </c>
      <c r="I55" s="2" t="inlineStr">
        <is>
          <t>рынок</t>
        </is>
      </c>
    </row>
    <row r="56">
      <c r="A56" s="2" t="inlineStr">
        <is>
          <t>12 Отопление (ОВ)</t>
        </is>
      </c>
      <c r="B56" s="2" t="inlineStr">
        <is>
          <t>Воздушно-отопительные агрегаты гаражей и эллинга (+5 °C)</t>
        </is>
      </c>
      <c r="C56" s="2" t="inlineStr">
        <is>
          <t>шт</t>
        </is>
      </c>
      <c r="D56" s="9" t="n">
        <v>6</v>
      </c>
      <c r="E56" s="4" t="n">
        <v>110000</v>
      </c>
      <c r="F56" s="4">
        <f>H56*0.75</f>
        <v/>
      </c>
      <c r="G56" s="4">
        <f>H56-F56</f>
        <v/>
      </c>
      <c r="H56" s="4">
        <f>D56*E56</f>
        <v/>
      </c>
      <c r="I56" s="2" t="inlineStr">
        <is>
          <t>Volcano/аналог</t>
        </is>
      </c>
    </row>
    <row r="57">
      <c r="A57" s="2" t="inlineStr">
        <is>
          <t>12 Отопление (ОВ)</t>
        </is>
      </c>
      <c r="B57" s="2" t="inlineStr">
        <is>
          <t>Магистрали, коллекторы, изоляция, ПНР</t>
        </is>
      </c>
      <c r="C57" s="2" t="inlineStr">
        <is>
          <t>компл</t>
        </is>
      </c>
      <c r="D57" s="9" t="n">
        <v>1</v>
      </c>
      <c r="E57" s="4" t="n">
        <v>1100000</v>
      </c>
      <c r="F57" s="4">
        <f>H57*0.55</f>
        <v/>
      </c>
      <c r="G57" s="4">
        <f>H57-F57</f>
        <v/>
      </c>
      <c r="H57" s="4">
        <f>D57*E57</f>
        <v/>
      </c>
      <c r="I57" s="2" t="inlineStr">
        <is>
          <t>рынок</t>
        </is>
      </c>
    </row>
    <row r="58">
      <c r="A58" s="2" t="inlineStr">
        <is>
          <t>13 Водоснабжение и канализация (ВК)</t>
        </is>
      </c>
      <c r="B58" s="2" t="inlineStr">
        <is>
          <t>Узел ввода, учёт, фильтрация/умягчение</t>
        </is>
      </c>
      <c r="C58" s="2" t="inlineStr">
        <is>
          <t>компл</t>
        </is>
      </c>
      <c r="D58" s="9" t="n">
        <v>1</v>
      </c>
      <c r="E58" s="4" t="n">
        <v>450000</v>
      </c>
      <c r="F58" s="4">
        <f>H58*0.75</f>
        <v/>
      </c>
      <c r="G58" s="4">
        <f>H58-F58</f>
        <v/>
      </c>
      <c r="H58" s="4">
        <f>D58*E58</f>
        <v/>
      </c>
      <c r="I58" s="2" t="inlineStr">
        <is>
          <t>посёлковая сеть</t>
        </is>
      </c>
    </row>
    <row r="59">
      <c r="A59" s="2" t="inlineStr">
        <is>
          <t>13 Водоснабжение и канализация (ВК)</t>
        </is>
      </c>
      <c r="B59" s="2" t="inlineStr">
        <is>
          <t>Бойлер косвенного нагрева 500 л + рециркуляция ГВС</t>
        </is>
      </c>
      <c r="C59" s="2" t="inlineStr">
        <is>
          <t>компл</t>
        </is>
      </c>
      <c r="D59" s="9" t="n">
        <v>1</v>
      </c>
      <c r="E59" s="4" t="n">
        <v>380000</v>
      </c>
      <c r="F59" s="4">
        <f>H59*0.75</f>
        <v/>
      </c>
      <c r="G59" s="4">
        <f>H59-F59</f>
        <v/>
      </c>
      <c r="H59" s="4">
        <f>D59*E59</f>
        <v/>
      </c>
      <c r="I59" s="2" t="inlineStr">
        <is>
          <t>рынок</t>
        </is>
      </c>
    </row>
    <row r="60">
      <c r="A60" s="2" t="inlineStr">
        <is>
          <t>13 Водоснабжение и канализация (ВК)</t>
        </is>
      </c>
      <c r="B60" s="2" t="inlineStr">
        <is>
          <t>Внутренние сети В1/Т3/Т4/К1 с изоляцией</t>
        </is>
      </c>
      <c r="C60" s="2" t="inlineStr">
        <is>
          <t>м²</t>
        </is>
      </c>
      <c r="D60" s="9" t="n">
        <v>961.54</v>
      </c>
      <c r="E60" s="4" t="n">
        <v>1300</v>
      </c>
      <c r="F60" s="4">
        <f>H60*0.5</f>
        <v/>
      </c>
      <c r="G60" s="4">
        <f>H60-F60</f>
        <v/>
      </c>
      <c r="H60" s="4">
        <f>D60*E60</f>
        <v/>
      </c>
      <c r="I60" s="2" t="inlineStr">
        <is>
          <t>рынок МО</t>
        </is>
      </c>
    </row>
    <row r="61">
      <c r="A61" s="2" t="inlineStr">
        <is>
          <t>13 Водоснабжение и канализация (ВК)</t>
        </is>
      </c>
      <c r="B61" s="2" t="inlineStr">
        <is>
          <t>Санузлы: унитаз, раковина, душ/поддон, смесители — 10 шт.</t>
        </is>
      </c>
      <c r="C61" s="2" t="inlineStr">
        <is>
          <t>шт</t>
        </is>
      </c>
      <c r="D61" s="9" t="n">
        <v>10</v>
      </c>
      <c r="E61" s="4" t="n">
        <v>160000</v>
      </c>
      <c r="F61" s="4">
        <f>H61*0.7</f>
        <v/>
      </c>
      <c r="G61" s="4">
        <f>H61-F61</f>
        <v/>
      </c>
      <c r="H61" s="4">
        <f>D61*E61</f>
        <v/>
      </c>
      <c r="I61" s="2" t="inlineStr">
        <is>
          <t>C — только КПП и раздевалка, прочие — точки подключения</t>
        </is>
      </c>
    </row>
    <row r="62">
      <c r="A62" s="2" t="inlineStr">
        <is>
          <t>13 Водоснабжение и канализация (ВК)</t>
        </is>
      </c>
      <c r="B62" s="2" t="inlineStr">
        <is>
          <t>Трапы и лотки гаражей/эллинга, бензомаслоуловитель (ЛОС) 1 л/с</t>
        </is>
      </c>
      <c r="C62" s="2" t="inlineStr">
        <is>
          <t>компл</t>
        </is>
      </c>
      <c r="D62" s="9" t="n">
        <v>1</v>
      </c>
      <c r="E62" s="4" t="n">
        <v>650000</v>
      </c>
      <c r="F62" s="4">
        <f>H62*0.75</f>
        <v/>
      </c>
      <c r="G62" s="4">
        <f>H62-F62</f>
        <v/>
      </c>
      <c r="H62" s="4">
        <f>D62*E62</f>
        <v/>
      </c>
      <c r="I62" s="2" t="inlineStr">
        <is>
          <t>ВОЗ — обязательно</t>
        </is>
      </c>
    </row>
    <row r="63">
      <c r="A63" s="2" t="inlineStr">
        <is>
          <t>13 Водоснабжение и канализация (ВК)</t>
        </is>
      </c>
      <c r="B63" s="2" t="inlineStr">
        <is>
          <t>Кухня столовой, прачечная: подключение оборудования</t>
        </is>
      </c>
      <c r="C63" s="2" t="inlineStr">
        <is>
          <t>компл</t>
        </is>
      </c>
      <c r="D63" s="9" t="n">
        <v>1</v>
      </c>
      <c r="E63" s="4" t="n">
        <v>250000</v>
      </c>
      <c r="F63" s="4">
        <f>H63*0.5</f>
        <v/>
      </c>
      <c r="G63" s="4">
        <f>H63-F63</f>
        <v/>
      </c>
      <c r="H63" s="4">
        <f>D63*E63</f>
        <v/>
      </c>
      <c r="I63" s="2" t="inlineStr">
        <is>
          <t>рынок</t>
        </is>
      </c>
    </row>
    <row r="64">
      <c r="A64" s="2" t="inlineStr">
        <is>
          <t>14 Вентиляция и кондиционирование (ОВК)</t>
        </is>
      </c>
      <c r="B64" s="2" t="inlineStr">
        <is>
          <t>П1/В1 проживание 1 300 м³/ч с рекуператором, воздуховоды, распределители</t>
        </is>
      </c>
      <c r="C64" s="2" t="inlineStr">
        <is>
          <t>компл</t>
        </is>
      </c>
      <c r="D64" s="9" t="n">
        <v>1</v>
      </c>
      <c r="E64" s="4" t="n">
        <v>2600000</v>
      </c>
      <c r="F64" s="4">
        <f>H64*0.7</f>
        <v/>
      </c>
      <c r="G64" s="4">
        <f>H64-F64</f>
        <v/>
      </c>
      <c r="H64" s="4">
        <f>D64*E64</f>
        <v/>
      </c>
      <c r="I64" s="2" t="inlineStr">
        <is>
          <t>рынок</t>
        </is>
      </c>
    </row>
    <row r="65">
      <c r="A65" s="2" t="inlineStr">
        <is>
          <t>14 Вентиляция и кондиционирование (ОВК)</t>
        </is>
      </c>
      <c r="B65" s="2" t="inlineStr">
        <is>
          <t>П2/В2 спортзал 1 200 м³/ч с рекуператором и охладителем</t>
        </is>
      </c>
      <c r="C65" s="2" t="inlineStr">
        <is>
          <t>компл</t>
        </is>
      </c>
      <c r="D65" s="9" t="n">
        <v>1</v>
      </c>
      <c r="E65" s="4" t="n">
        <v>1900000</v>
      </c>
      <c r="F65" s="4">
        <f>H65*0.7</f>
        <v/>
      </c>
      <c r="G65" s="4">
        <f>H65-F65</f>
        <v/>
      </c>
      <c r="H65" s="4">
        <f>D65*E65</f>
        <v/>
      </c>
      <c r="I65" s="2" t="inlineStr">
        <is>
          <t>по ТЗ спортзала</t>
        </is>
      </c>
    </row>
    <row r="66">
      <c r="A66" s="2" t="inlineStr">
        <is>
          <t>14 Вентиляция и кондиционирование (ОВК)</t>
        </is>
      </c>
      <c r="B66" s="2" t="inlineStr">
        <is>
          <t>В3 гаражи и эллинг: вытяжка по датчикам CO/паров, клапаны</t>
        </is>
      </c>
      <c r="C66" s="2" t="inlineStr">
        <is>
          <t>компл</t>
        </is>
      </c>
      <c r="D66" s="9" t="n">
        <v>1</v>
      </c>
      <c r="E66" s="4" t="n">
        <v>900000</v>
      </c>
      <c r="F66" s="4">
        <f>H66*0.7</f>
        <v/>
      </c>
      <c r="G66" s="4">
        <f>H66-F66</f>
        <v/>
      </c>
      <c r="H66" s="4">
        <f>D66*E66</f>
        <v/>
      </c>
      <c r="I66" s="2" t="inlineStr">
        <is>
          <t>без приточки</t>
        </is>
      </c>
    </row>
    <row r="67">
      <c r="A67" s="2" t="inlineStr">
        <is>
          <t>14 Вентиляция и кондиционирование (ОВК)</t>
        </is>
      </c>
      <c r="B67" s="2" t="inlineStr">
        <is>
          <t>Кондиционирование: мини-VRF 22 кВт — спортзал, столовая, КПП, охрана</t>
        </is>
      </c>
      <c r="C67" s="2" t="inlineStr">
        <is>
          <t>компл</t>
        </is>
      </c>
      <c r="D67" s="9" t="n">
        <v>1</v>
      </c>
      <c r="E67" s="4" t="n">
        <v>3500000</v>
      </c>
      <c r="F67" s="4">
        <f>H67*0.75</f>
        <v/>
      </c>
      <c r="G67" s="4">
        <f>H67-F67</f>
        <v/>
      </c>
      <c r="H67" s="4">
        <f>D67*E67</f>
        <v/>
      </c>
      <c r="I67" s="2" t="inlineStr">
        <is>
          <t>A — «условно» ЭП</t>
        </is>
      </c>
    </row>
    <row r="68">
      <c r="A68" s="2" t="inlineStr">
        <is>
          <t>15 Электроснабжение и освещение (ЭОМ)</t>
        </is>
      </c>
      <c r="B68" s="2" t="inlineStr">
        <is>
          <t>ВРУ/ГРЩ 100 А, учёт, АВР на ДГУ посёлка, щиты этажные</t>
        </is>
      </c>
      <c r="C68" s="2" t="inlineStr">
        <is>
          <t>компл</t>
        </is>
      </c>
      <c r="D68" s="9" t="n">
        <v>1</v>
      </c>
      <c r="E68" s="4" t="n">
        <v>900000</v>
      </c>
      <c r="F68" s="4">
        <f>H68*0.75</f>
        <v/>
      </c>
      <c r="G68" s="4">
        <f>H68-F68</f>
        <v/>
      </c>
      <c r="H68" s="4">
        <f>D68*E68</f>
        <v/>
      </c>
      <c r="I68" s="2" t="inlineStr">
        <is>
          <t>Pр ≈ 60 кВт</t>
        </is>
      </c>
    </row>
    <row r="69">
      <c r="A69" s="2" t="inlineStr">
        <is>
          <t>15 Электроснабжение и освещение (ЭОМ)</t>
        </is>
      </c>
      <c r="B69" s="2" t="inlineStr">
        <is>
          <t>Кабельные сети, розетки, выключатели, освещение (светильники служебного стандарта)</t>
        </is>
      </c>
      <c r="C69" s="2" t="inlineStr">
        <is>
          <t>м²</t>
        </is>
      </c>
      <c r="D69" s="9" t="n">
        <v>961.54</v>
      </c>
      <c r="E69" s="4" t="n">
        <v>4300</v>
      </c>
      <c r="F69" s="4">
        <f>H69*0.55</f>
        <v/>
      </c>
      <c r="G69" s="4">
        <f>H69-F69</f>
        <v/>
      </c>
      <c r="H69" s="4">
        <f>D69*E69</f>
        <v/>
      </c>
      <c r="I69" s="2" t="inlineStr">
        <is>
          <t>A — 6,0 млн ЭП-сметы</t>
        </is>
      </c>
    </row>
    <row r="70">
      <c r="A70" s="2" t="inlineStr">
        <is>
          <t>15 Электроснабжение и освещение (ЭОМ)</t>
        </is>
      </c>
      <c r="B70" s="2" t="inlineStr">
        <is>
          <t>Освещение спортзала и фасадов (архитектурное, к воде)</t>
        </is>
      </c>
      <c r="C70" s="2" t="inlineStr">
        <is>
          <t>компл</t>
        </is>
      </c>
      <c r="D70" s="9" t="n">
        <v>1</v>
      </c>
      <c r="E70" s="4" t="n">
        <v>900000</v>
      </c>
      <c r="F70" s="4">
        <f>H70*0.75</f>
        <v/>
      </c>
      <c r="G70" s="4">
        <f>H70-F70</f>
        <v/>
      </c>
      <c r="H70" s="4">
        <f>D70*E70</f>
        <v/>
      </c>
      <c r="I70" s="2" t="inlineStr">
        <is>
          <t>рынок</t>
        </is>
      </c>
    </row>
    <row r="71">
      <c r="A71" s="2" t="inlineStr">
        <is>
          <t>15 Электроснабжение и освещение (ЭОМ)</t>
        </is>
      </c>
      <c r="B71" s="2" t="inlineStr">
        <is>
          <t>Зарядные станции 7,4 кВт с управлением нагрузкой</t>
        </is>
      </c>
      <c r="C71" s="2" t="inlineStr">
        <is>
          <t>шт</t>
        </is>
      </c>
      <c r="D71" s="9" t="n">
        <v>4</v>
      </c>
      <c r="E71" s="4" t="n">
        <v>140000</v>
      </c>
      <c r="F71" s="4">
        <f>H71*0.8</f>
        <v/>
      </c>
      <c r="G71" s="4">
        <f>H71-F71</f>
        <v/>
      </c>
      <c r="H71" s="4">
        <f>D71*E71</f>
        <v/>
      </c>
      <c r="I71" s="2" t="inlineStr">
        <is>
          <t>C — только кабельные трассы</t>
        </is>
      </c>
    </row>
    <row r="72">
      <c r="A72" s="2" t="inlineStr">
        <is>
          <t>15 Электроснабжение и освещение (ЭОМ)</t>
        </is>
      </c>
      <c r="B72" s="2" t="inlineStr">
        <is>
          <t>Молниезащита, заземление, уравнивание потенциалов</t>
        </is>
      </c>
      <c r="C72" s="2" t="inlineStr">
        <is>
          <t>компл</t>
        </is>
      </c>
      <c r="D72" s="9" t="n">
        <v>1</v>
      </c>
      <c r="E72" s="4" t="n">
        <v>500000</v>
      </c>
      <c r="F72" s="4">
        <f>H72*0.6</f>
        <v/>
      </c>
      <c r="G72" s="4">
        <f>H72-F72</f>
        <v/>
      </c>
      <c r="H72" s="4">
        <f>D72*E72</f>
        <v/>
      </c>
      <c r="I72" s="2" t="inlineStr">
        <is>
          <t>аналог 291-МЗ</t>
        </is>
      </c>
    </row>
    <row r="73">
      <c r="A73" s="2" t="inlineStr">
        <is>
          <t>16 Слаботочные системы и пожарная безопасность (СС, ПБ)</t>
        </is>
      </c>
      <c r="B73" s="2" t="inlineStr">
        <is>
          <t>АПС адресная + СОУЭ 2 типа</t>
        </is>
      </c>
      <c r="C73" s="2" t="inlineStr">
        <is>
          <t>м²</t>
        </is>
      </c>
      <c r="D73" s="9" t="n">
        <v>961.54</v>
      </c>
      <c r="E73" s="4" t="n">
        <v>750</v>
      </c>
      <c r="F73" s="4">
        <f>H73*0.6</f>
        <v/>
      </c>
      <c r="G73" s="4">
        <f>H73-F73</f>
        <v/>
      </c>
      <c r="H73" s="4">
        <f>D73*E73</f>
        <v/>
      </c>
      <c r="I73" s="2" t="inlineStr">
        <is>
          <t>СП 484, 3.13130</t>
        </is>
      </c>
    </row>
    <row r="74">
      <c r="A74" s="2" t="inlineStr">
        <is>
          <t>16 Слаботочные системы и пожарная безопасность (СС, ПБ)</t>
        </is>
      </c>
      <c r="B74" s="2" t="inlineStr">
        <is>
          <t>Модульное пожаротушение эллинга и котельной (по разделу ПБ)</t>
        </is>
      </c>
      <c r="C74" s="2" t="inlineStr">
        <is>
          <t>компл</t>
        </is>
      </c>
      <c r="D74" s="9" t="n">
        <v>1</v>
      </c>
      <c r="E74" s="4" t="n">
        <v>450000</v>
      </c>
      <c r="F74" s="4">
        <f>H74*0.8</f>
        <v/>
      </c>
      <c r="G74" s="4">
        <f>H74-F74</f>
        <v/>
      </c>
      <c r="H74" s="4">
        <f>D74*E74</f>
        <v/>
      </c>
      <c r="I74" s="2" t="inlineStr">
        <is>
          <t>опция — проверить в ПБ</t>
        </is>
      </c>
    </row>
    <row r="75">
      <c r="A75" s="2" t="inlineStr">
        <is>
          <t>16 Слаботочные системы и пожарная безопасность (СС, ПБ)</t>
        </is>
      </c>
      <c r="B75" s="2" t="inlineStr">
        <is>
          <t>КПП: СКУД, шлагбаум, распознавание номеров, домофония</t>
        </is>
      </c>
      <c r="C75" s="2" t="inlineStr">
        <is>
          <t>компл</t>
        </is>
      </c>
      <c r="D75" s="9" t="n">
        <v>1</v>
      </c>
      <c r="E75" s="4" t="n">
        <v>900000</v>
      </c>
      <c r="F75" s="4">
        <f>H75*0.75</f>
        <v/>
      </c>
      <c r="G75" s="4">
        <f>H75-F75</f>
        <v/>
      </c>
      <c r="H75" s="4">
        <f>D75*E75</f>
        <v/>
      </c>
      <c r="I75" s="2" t="inlineStr">
        <is>
          <t>въезд посёлка</t>
        </is>
      </c>
    </row>
    <row r="76">
      <c r="A76" s="2" t="inlineStr">
        <is>
          <t>16 Слаботочные системы и пожарная безопасность (СС, ПБ)</t>
        </is>
      </c>
      <c r="B76" s="2" t="inlineStr">
        <is>
          <t>Видеонаблюдение 16 камер + сервер, охранная сигнализация</t>
        </is>
      </c>
      <c r="C76" s="2" t="inlineStr">
        <is>
          <t>компл</t>
        </is>
      </c>
      <c r="D76" s="9" t="n">
        <v>1</v>
      </c>
      <c r="E76" s="4" t="n">
        <v>900000</v>
      </c>
      <c r="F76" s="4">
        <f>H76*0.75</f>
        <v/>
      </c>
      <c r="G76" s="4">
        <f>H76-F76</f>
        <v/>
      </c>
      <c r="H76" s="4">
        <f>D76*E76</f>
        <v/>
      </c>
      <c r="I76" s="2" t="inlineStr">
        <is>
          <t>рынок</t>
        </is>
      </c>
    </row>
    <row r="77">
      <c r="A77" s="2" t="inlineStr">
        <is>
          <t>16 Слаботочные системы и пожарная безопасность (СС, ПБ)</t>
        </is>
      </c>
      <c r="B77" s="2" t="inlineStr">
        <is>
          <t>СКС, Wi-Fi, стойка, диспетчеризация инженерии (Home Assistant)</t>
        </is>
      </c>
      <c r="C77" s="2" t="inlineStr">
        <is>
          <t>компл</t>
        </is>
      </c>
      <c r="D77" s="9" t="n">
        <v>1</v>
      </c>
      <c r="E77" s="4" t="n">
        <v>900000</v>
      </c>
      <c r="F77" s="4">
        <f>H77*0.7</f>
        <v/>
      </c>
      <c r="G77" s="4">
        <f>H77-F77</f>
        <v/>
      </c>
      <c r="H77" s="4">
        <f>D77*E77</f>
        <v/>
      </c>
      <c r="I77" s="2" t="inlineStr">
        <is>
          <t>аналог 291-СС</t>
        </is>
      </c>
    </row>
    <row r="78">
      <c r="A78" s="2" t="inlineStr">
        <is>
          <t>16 Слаботочные системы и пожарная безопасность (СС, ПБ)</t>
        </is>
      </c>
      <c r="B78" s="2" t="inlineStr">
        <is>
          <t>Пусконаладка всех инженерных систем</t>
        </is>
      </c>
      <c r="C78" s="2" t="inlineStr">
        <is>
          <t>компл</t>
        </is>
      </c>
      <c r="D78" s="9" t="n">
        <v>1</v>
      </c>
      <c r="E78" s="4" t="n">
        <v>1000000</v>
      </c>
      <c r="F78" s="4">
        <f>H78*0.0</f>
        <v/>
      </c>
      <c r="G78" s="4">
        <f>H78-F78</f>
        <v/>
      </c>
      <c r="H78" s="4">
        <f>D78*E78</f>
        <v/>
      </c>
      <c r="I78" s="2" t="inlineStr">
        <is>
          <t>рынок</t>
        </is>
      </c>
    </row>
    <row r="79">
      <c r="A79" s="6" t="inlineStr"/>
      <c r="B79" s="6" t="inlineStr">
        <is>
          <t>ИТОГО СМР</t>
        </is>
      </c>
      <c r="C79" s="6" t="inlineStr"/>
      <c r="D79" s="10" t="inlineStr"/>
      <c r="E79" s="7" t="inlineStr"/>
      <c r="F79" s="7">
        <f>SUM(F2:F78)</f>
        <v/>
      </c>
      <c r="G79" s="7">
        <f>SUM(G2:G78)</f>
        <v/>
      </c>
      <c r="H79" s="7">
        <f>SUM(H2:H78)</f>
        <v/>
      </c>
      <c r="I79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0" customWidth="1" min="2" max="2"/>
    <col width="7" customWidth="1" min="3" max="3"/>
    <col width="10" customWidth="1" min="4" max="4"/>
    <col width="12" customWidth="1" min="5" max="5"/>
    <col width="14" customWidth="1" min="6" max="6"/>
    <col width="14" customWidth="1" min="7" max="7"/>
    <col width="15" customWidth="1" min="8" max="8"/>
    <col width="34" customWidth="1" min="9" max="9"/>
  </cols>
  <sheetData>
    <row r="1">
      <c r="A1" s="3" t="inlineStr">
        <is>
          <t>Раздел</t>
        </is>
      </c>
      <c r="B1" s="3" t="inlineStr">
        <is>
          <t>Наименование</t>
        </is>
      </c>
      <c r="C1" s="3" t="inlineStr">
        <is>
          <t>Ед.</t>
        </is>
      </c>
      <c r="D1" s="3" t="inlineStr">
        <is>
          <t>Кол-во</t>
        </is>
      </c>
      <c r="E1" s="3" t="inlineStr">
        <is>
          <t>Цена, ₽/ед.</t>
        </is>
      </c>
      <c r="F1" s="3" t="inlineStr">
        <is>
          <t>Материалы, ₽</t>
        </is>
      </c>
      <c r="G1" s="3" t="inlineStr">
        <is>
          <t>Работы, ₽</t>
        </is>
      </c>
      <c r="H1" s="3" t="inlineStr">
        <is>
          <t>Сумма, ₽</t>
        </is>
      </c>
      <c r="I1" s="3" t="inlineStr">
        <is>
          <t>Основание</t>
        </is>
      </c>
    </row>
    <row r="2">
      <c r="A2" s="2" t="inlineStr">
        <is>
          <t>01 Подготовка территории</t>
        </is>
      </c>
      <c r="B2" s="2" t="inlineStr">
        <is>
          <t>Бытовки, временные сети, ограждение, охрана на период стройки</t>
        </is>
      </c>
      <c r="C2" s="2" t="inlineStr">
        <is>
          <t>мес</t>
        </is>
      </c>
      <c r="D2" s="9" t="n">
        <v>12</v>
      </c>
      <c r="E2" s="4" t="n">
        <v>70000</v>
      </c>
      <c r="F2" s="4">
        <f>H2*0.3</f>
        <v/>
      </c>
      <c r="G2" s="4">
        <f>H2-F2</f>
        <v/>
      </c>
      <c r="H2" s="4">
        <f>D2*E2</f>
        <v/>
      </c>
      <c r="I2" s="2" t="inlineStr">
        <is>
          <t>общая площадка посёлка — рычаг 7</t>
        </is>
      </c>
    </row>
    <row r="3">
      <c r="A3" s="2" t="inlineStr">
        <is>
          <t>01 Подготовка территории</t>
        </is>
      </c>
      <c r="B3" s="2" t="inlineStr">
        <is>
          <t>Геодезическая разбивка и исполнительные съёмки</t>
        </is>
      </c>
      <c r="C3" s="2" t="inlineStr">
        <is>
          <t>компл</t>
        </is>
      </c>
      <c r="D3" s="9" t="n">
        <v>1</v>
      </c>
      <c r="E3" s="4" t="n">
        <v>220000</v>
      </c>
      <c r="F3" s="4">
        <f>H3*0.0</f>
        <v/>
      </c>
      <c r="G3" s="4">
        <f>H3-F3</f>
        <v/>
      </c>
      <c r="H3" s="4">
        <f>D3*E3</f>
        <v/>
      </c>
      <c r="I3" s="2" t="inlineStr">
        <is>
          <t>рынок МО</t>
        </is>
      </c>
    </row>
    <row r="4">
      <c r="A4" s="2" t="inlineStr">
        <is>
          <t>01 Подготовка территории</t>
        </is>
      </c>
      <c r="B4" s="2" t="inlineStr">
        <is>
          <t>Вывоз мусора, уборка площадки</t>
        </is>
      </c>
      <c r="C4" s="2" t="inlineStr">
        <is>
          <t>мес</t>
        </is>
      </c>
      <c r="D4" s="9" t="n">
        <v>12</v>
      </c>
      <c r="E4" s="4" t="n">
        <v>30000</v>
      </c>
      <c r="F4" s="4">
        <f>H4*0.2</f>
        <v/>
      </c>
      <c r="G4" s="4">
        <f>H4-F4</f>
        <v/>
      </c>
      <c r="H4" s="4">
        <f>D4*E4</f>
        <v/>
      </c>
      <c r="I4" s="2" t="inlineStr">
        <is>
          <t>рынок МО</t>
        </is>
      </c>
    </row>
    <row r="5">
      <c r="A5" s="2" t="inlineStr">
        <is>
          <t>02 Земляные работы</t>
        </is>
      </c>
      <c r="B5" s="2" t="inlineStr">
        <is>
          <t>Срезка растительного слоя и глины 0,3 м с вывозом</t>
        </is>
      </c>
      <c r="C5" s="2" t="inlineStr">
        <is>
          <t>м³</t>
        </is>
      </c>
      <c r="D5" s="9" t="n">
        <v>208</v>
      </c>
      <c r="E5" s="4" t="n">
        <v>1100</v>
      </c>
      <c r="F5" s="4">
        <f>H5*0.0</f>
        <v/>
      </c>
      <c r="G5" s="4">
        <f>H5-F5</f>
        <v/>
      </c>
      <c r="H5" s="4">
        <f>D5*E5</f>
        <v/>
      </c>
      <c r="I5" s="2" t="inlineStr">
        <is>
          <t>вывоз 700 ₽/м³ (протокол 19.10) + разработка</t>
        </is>
      </c>
    </row>
    <row r="6">
      <c r="A6" s="2" t="inlineStr">
        <is>
          <t>02 Земляные работы</t>
        </is>
      </c>
      <c r="B6" s="2" t="inlineStr">
        <is>
          <t>Песчаная подушка 0,5 м с послойным уплотнением</t>
        </is>
      </c>
      <c r="C6" s="2" t="inlineStr">
        <is>
          <t>м³</t>
        </is>
      </c>
      <c r="D6" s="9" t="n">
        <v>308</v>
      </c>
      <c r="E6" s="4" t="n">
        <v>1700</v>
      </c>
      <c r="F6" s="4">
        <f>H6*0.65</f>
        <v/>
      </c>
      <c r="G6" s="4">
        <f>H6-F6</f>
        <v/>
      </c>
      <c r="H6" s="4">
        <f>D6*E6</f>
        <v/>
      </c>
      <c r="I6" s="2" t="inlineStr">
        <is>
          <t>песок 900–1 100 ₽/м³</t>
        </is>
      </c>
    </row>
    <row r="7">
      <c r="A7" s="2" t="inlineStr">
        <is>
          <t>02 Земляные работы</t>
        </is>
      </c>
      <c r="B7" s="2" t="inlineStr">
        <is>
          <t>Обратная засыпка пазух, планировка</t>
        </is>
      </c>
      <c r="C7" s="2" t="inlineStr">
        <is>
          <t>м³</t>
        </is>
      </c>
      <c r="D7" s="9" t="n">
        <v>180</v>
      </c>
      <c r="E7" s="4" t="n">
        <v>800</v>
      </c>
      <c r="F7" s="4">
        <f>H7*0.4</f>
        <v/>
      </c>
      <c r="G7" s="4">
        <f>H7-F7</f>
        <v/>
      </c>
      <c r="H7" s="4">
        <f>D7*E7</f>
        <v/>
      </c>
      <c r="I7" s="2" t="inlineStr">
        <is>
          <t>рынок МО</t>
        </is>
      </c>
    </row>
    <row r="8">
      <c r="A8" s="2" t="inlineStr">
        <is>
          <t>03 Фундамент</t>
        </is>
      </c>
      <c r="B8" s="2" t="inlineStr">
        <is>
          <t>Сваи ЖБ С80.30 (8 м) с забивкой, 77 шт.</t>
        </is>
      </c>
      <c r="C8" s="2" t="inlineStr">
        <is>
          <t>шт</t>
        </is>
      </c>
      <c r="D8" s="9" t="n">
        <v>77</v>
      </c>
      <c r="E8" s="4" t="n">
        <v>31000</v>
      </c>
      <c r="F8" s="4">
        <f>H8*0.65</f>
        <v/>
      </c>
      <c r="G8" s="4">
        <f>H8-F8</f>
        <v/>
      </c>
      <c r="H8" s="4">
        <f>D8*E8</f>
        <v/>
      </c>
      <c r="I8" s="2" t="inlineStr">
        <is>
          <t>свая 19–21 тыс. + забивка 1 200–1 500 ₽/м</t>
        </is>
      </c>
    </row>
    <row r="9">
      <c r="A9" s="2" t="inlineStr">
        <is>
          <t>03 Фундамент</t>
        </is>
      </c>
      <c r="B9" s="2" t="inlineStr">
        <is>
          <t>Испытания свай статической и динамической нагрузкой</t>
        </is>
      </c>
      <c r="C9" s="2" t="inlineStr">
        <is>
          <t>компл</t>
        </is>
      </c>
      <c r="D9" s="9" t="n">
        <v>1</v>
      </c>
      <c r="E9" s="4" t="n">
        <v>300000</v>
      </c>
      <c r="F9" s="4">
        <f>H9*0.0</f>
        <v/>
      </c>
      <c r="G9" s="4">
        <f>H9-F9</f>
        <v/>
      </c>
      <c r="H9" s="4">
        <f>D9*E9</f>
        <v/>
      </c>
      <c r="I9" s="2" t="inlineStr">
        <is>
          <t>СП 24.13330</t>
        </is>
      </c>
    </row>
    <row r="10">
      <c r="A10" s="2" t="inlineStr">
        <is>
          <t>03 Фундамент</t>
        </is>
      </c>
      <c r="B10" s="2" t="inlineStr">
        <is>
          <t>Подбетонка В7,5 80 мм</t>
        </is>
      </c>
      <c r="C10" s="2" t="inlineStr">
        <is>
          <t>м²</t>
        </is>
      </c>
      <c r="D10" s="9" t="n">
        <v>513.5700000000001</v>
      </c>
      <c r="E10" s="4" t="n">
        <v>700</v>
      </c>
      <c r="F10" s="4">
        <f>H10*0.6</f>
        <v/>
      </c>
      <c r="G10" s="4">
        <f>H10-F10</f>
        <v/>
      </c>
      <c r="H10" s="4">
        <f>D10*E10</f>
        <v/>
      </c>
      <c r="I10" s="2" t="inlineStr">
        <is>
          <t>рынок МО</t>
        </is>
      </c>
    </row>
    <row r="11">
      <c r="A11" s="2" t="inlineStr">
        <is>
          <t>03 Фундамент</t>
        </is>
      </c>
      <c r="B11" s="2" t="inlineStr">
        <is>
          <t>Гидроизоляция под плиту и по торцам (2 слоя наплавляемая)</t>
        </is>
      </c>
      <c r="C11" s="2" t="inlineStr">
        <is>
          <t>м²</t>
        </is>
      </c>
      <c r="D11" s="9" t="n">
        <v>591</v>
      </c>
      <c r="E11" s="4" t="n">
        <v>950</v>
      </c>
      <c r="F11" s="4">
        <f>H11*0.55</f>
        <v/>
      </c>
      <c r="G11" s="4">
        <f>H11-F11</f>
        <v/>
      </c>
      <c r="H11" s="4">
        <f>D11*E11</f>
        <v/>
      </c>
      <c r="I11" s="2" t="inlineStr">
        <is>
          <t>у воды — без экономии</t>
        </is>
      </c>
    </row>
    <row r="12">
      <c r="A12" s="2" t="inlineStr">
        <is>
          <t>03 Фундамент</t>
        </is>
      </c>
      <c r="B12" s="2" t="inlineStr">
        <is>
          <t>ЭППС 100 мм под плитой и по периметру</t>
        </is>
      </c>
      <c r="C12" s="2" t="inlineStr">
        <is>
          <t>м²</t>
        </is>
      </c>
      <c r="D12" s="9" t="n">
        <v>565</v>
      </c>
      <c r="E12" s="4" t="n">
        <v>1200</v>
      </c>
      <c r="F12" s="4">
        <f>H12*0.75</f>
        <v/>
      </c>
      <c r="G12" s="4">
        <f>H12-F12</f>
        <v/>
      </c>
      <c r="H12" s="4">
        <f>D12*E12</f>
        <v/>
      </c>
      <c r="I12" s="2" t="inlineStr">
        <is>
          <t>рынок МО</t>
        </is>
      </c>
    </row>
    <row r="13">
      <c r="A13" s="2" t="inlineStr">
        <is>
          <t>03 Фундамент</t>
        </is>
      </c>
      <c r="B13" s="2" t="inlineStr">
        <is>
          <t>Монолитная плита 300 мм на сваях, В25 W8 F150, А500 ≈ 115 кг/м³ (пол 1 этажа)</t>
        </is>
      </c>
      <c r="C13" s="2" t="inlineStr">
        <is>
          <t>м³</t>
        </is>
      </c>
      <c r="D13" s="9" t="n">
        <v>154.1</v>
      </c>
      <c r="E13" s="4" t="n">
        <v>25000</v>
      </c>
      <c r="F13" s="4">
        <f>H13*0.62</f>
        <v/>
      </c>
      <c r="G13" s="4">
        <f>H13-F13</f>
        <v/>
      </c>
      <c r="H13" s="4">
        <f>D13*E13</f>
        <v/>
      </c>
      <c r="I13" s="2" t="inlineStr">
        <is>
          <t>бетон 8–8,5 тыс./м³, арматура 85 тыс./т, работы 7–9 тыс./м³</t>
        </is>
      </c>
    </row>
    <row r="14">
      <c r="A14" s="2" t="inlineStr">
        <is>
          <t>03 Фундамент</t>
        </is>
      </c>
      <c r="B14" s="2" t="inlineStr">
        <is>
          <t>Цокольное перекрытие (в ЭП-смете отдельно 4,0 млн; при плите на сваях не нужно)</t>
        </is>
      </c>
      <c r="C14" s="2" t="inlineStr">
        <is>
          <t>м²</t>
        </is>
      </c>
      <c r="D14" s="9" t="n">
        <v>513.5700000000001</v>
      </c>
      <c r="E14" s="4" t="n">
        <v>0</v>
      </c>
      <c r="F14" s="4">
        <f>H14*0.6</f>
        <v/>
      </c>
      <c r="G14" s="4">
        <f>H14-F14</f>
        <v/>
      </c>
      <c r="H14" s="4">
        <f>D14*E14</f>
        <v/>
      </c>
      <c r="I14" s="2" t="inlineStr">
        <is>
          <t>дублирование в смете ЭП — исключено в B/C</t>
        </is>
      </c>
    </row>
    <row r="15">
      <c r="A15" s="2" t="inlineStr">
        <is>
          <t>03 Фундамент</t>
        </is>
      </c>
      <c r="B15" s="2" t="inlineStr">
        <is>
          <t>Закладные, гильзы, выпуски (по ведомости закладных)</t>
        </is>
      </c>
      <c r="C15" s="2" t="inlineStr">
        <is>
          <t>компл</t>
        </is>
      </c>
      <c r="D15" s="9" t="n">
        <v>1</v>
      </c>
      <c r="E15" s="4" t="n">
        <v>300000</v>
      </c>
      <c r="F15" s="4">
        <f>H15*0.5</f>
        <v/>
      </c>
      <c r="G15" s="4">
        <f>H15-F15</f>
        <v/>
      </c>
      <c r="H15" s="4">
        <f>D15*E15</f>
        <v/>
      </c>
      <c r="I15" s="2" t="inlineStr">
        <is>
          <t>аналог БР-ЗК</t>
        </is>
      </c>
    </row>
    <row r="16">
      <c r="A16" s="2" t="inlineStr">
        <is>
          <t>04 Каркас и перекрытия</t>
        </is>
      </c>
      <c r="B16" s="2" t="inlineStr">
        <is>
          <t>Колонны 1 этажа: стальные с огнезащитой R150 (A) / монолит ЖБ 400×400 (B, C)</t>
        </is>
      </c>
      <c r="C16" s="2" t="inlineStr">
        <is>
          <t>шт</t>
        </is>
      </c>
      <c r="D16" s="9" t="n">
        <v>14</v>
      </c>
      <c r="E16" s="4" t="n">
        <v>65000</v>
      </c>
      <c r="F16" s="4">
        <f>H16*0.55</f>
        <v/>
      </c>
      <c r="G16" s="4">
        <f>H16-F16</f>
        <v/>
      </c>
      <c r="H16" s="4">
        <f>D16*E16</f>
        <v/>
      </c>
      <c r="I16" s="2" t="inlineStr">
        <is>
          <t>R150 для стали — 1,5–3 тыс./м² поверхности; ЖБ обеспечивает сам</t>
        </is>
      </c>
    </row>
    <row r="17">
      <c r="A17" s="2" t="inlineStr">
        <is>
          <t>04 Каркас и перекрытия</t>
        </is>
      </c>
      <c r="B17" s="2" t="inlineStr">
        <is>
          <t>Межэтажное и под плоскую кровлю: монолит ЖБ плита 200 + рёбра 600 (A, B) / ПБ + монолитные участки (C)</t>
        </is>
      </c>
      <c r="C17" s="2" t="inlineStr">
        <is>
          <t>м²</t>
        </is>
      </c>
      <c r="D17" s="9" t="n">
        <v>798.74</v>
      </c>
      <c r="E17" s="4" t="n">
        <v>11500</v>
      </c>
      <c r="F17" s="4">
        <f>H17*0.55</f>
        <v/>
      </c>
      <c r="G17" s="4">
        <f>H17-F17</f>
        <v/>
      </c>
      <c r="H17" s="4">
        <f>D17*E17</f>
        <v/>
      </c>
      <c r="I17" s="2" t="inlineStr">
        <is>
          <t>монолит 10,5–12,5 тыс.; ПБ 5,5–7 тыс.</t>
        </is>
      </c>
    </row>
    <row r="18">
      <c r="A18" s="2" t="inlineStr">
        <is>
          <t>04 Каркас и перекрытия</t>
        </is>
      </c>
      <c r="B18" s="2" t="inlineStr">
        <is>
          <t>Зимнее бетонирование (прогрев, тепляк) — если перекрытие попадает на ноябрь–март</t>
        </is>
      </c>
      <c r="C18" s="2" t="inlineStr">
        <is>
          <t>м²</t>
        </is>
      </c>
      <c r="D18" s="9" t="n">
        <v>798.74</v>
      </c>
      <c r="E18" s="4" t="n">
        <v>0</v>
      </c>
      <c r="F18" s="4">
        <f>H18*0.3</f>
        <v/>
      </c>
      <c r="G18" s="4">
        <f>H18-F18</f>
        <v/>
      </c>
      <c r="H18" s="4">
        <f>D18*E18</f>
        <v/>
      </c>
      <c r="I18" s="2" t="inlineStr">
        <is>
          <t>B, C — бетонирование в тёплый сезон по ПОС</t>
        </is>
      </c>
    </row>
    <row r="19">
      <c r="A19" s="2" t="inlineStr">
        <is>
          <t>04 Каркас и перекрытия</t>
        </is>
      </c>
      <c r="B19" s="2" t="inlineStr">
        <is>
          <t>Армопояса, перемычки, монолитные участки</t>
        </is>
      </c>
      <c r="C19" s="2" t="inlineStr">
        <is>
          <t>м³</t>
        </is>
      </c>
      <c r="D19" s="9" t="n">
        <v>40</v>
      </c>
      <c r="E19" s="4" t="n">
        <v>30000</v>
      </c>
      <c r="F19" s="4">
        <f>H19*0.55</f>
        <v/>
      </c>
      <c r="G19" s="4">
        <f>H19-F19</f>
        <v/>
      </c>
      <c r="H19" s="4">
        <f>D19*E19</f>
        <v/>
      </c>
      <c r="I19" s="2" t="inlineStr">
        <is>
          <t>рынок МО</t>
        </is>
      </c>
    </row>
    <row r="20">
      <c r="A20" s="2" t="inlineStr">
        <is>
          <t>04 Каркас и перекрытия</t>
        </is>
      </c>
      <c r="B20" s="2" t="inlineStr">
        <is>
          <t>Монолитная лестница 012 с ограждением</t>
        </is>
      </c>
      <c r="C20" s="2" t="inlineStr">
        <is>
          <t>компл</t>
        </is>
      </c>
      <c r="D20" s="9" t="n">
        <v>1</v>
      </c>
      <c r="E20" s="4" t="n">
        <v>600000</v>
      </c>
      <c r="F20" s="4">
        <f>H20*0.5</f>
        <v/>
      </c>
      <c r="G20" s="4">
        <f>H20-F20</f>
        <v/>
      </c>
      <c r="H20" s="4">
        <f>D20*E20</f>
        <v/>
      </c>
      <c r="I20" s="2" t="inlineStr">
        <is>
          <t>1 лестница 2 марша</t>
        </is>
      </c>
    </row>
    <row r="21">
      <c r="A21" s="2" t="inlineStr">
        <is>
          <t>05 Стены и перегородки</t>
        </is>
      </c>
      <c r="B21" s="2" t="inlineStr">
        <is>
          <t>Наружные стены газобетон D500 400 мм (блок, клей, армирование, кладка)</t>
        </is>
      </c>
      <c r="C21" s="2" t="inlineStr">
        <is>
          <t>м³</t>
        </is>
      </c>
      <c r="D21" s="9" t="n">
        <v>309.14</v>
      </c>
      <c r="E21" s="4" t="n">
        <v>13000</v>
      </c>
      <c r="F21" s="4">
        <f>H21*0.6</f>
        <v/>
      </c>
      <c r="G21" s="4">
        <f>H21-F21</f>
        <v/>
      </c>
      <c r="H21" s="4">
        <f>D21*E21</f>
        <v/>
      </c>
      <c r="I21" s="2" t="inlineStr">
        <is>
          <t>рынок 11,5–15,5 тыс.</t>
        </is>
      </c>
    </row>
    <row r="22">
      <c r="A22" s="2" t="inlineStr">
        <is>
          <t>05 Стены и перегородки</t>
        </is>
      </c>
      <c r="B22" s="2" t="inlineStr">
        <is>
          <t>Внутренние стены газобетон 300 мм</t>
        </is>
      </c>
      <c r="C22" s="2" t="inlineStr">
        <is>
          <t>м³</t>
        </is>
      </c>
      <c r="D22" s="9" t="n">
        <v>153.54</v>
      </c>
      <c r="E22" s="4" t="n">
        <v>13000</v>
      </c>
      <c r="F22" s="4">
        <f>H22*0.6</f>
        <v/>
      </c>
      <c r="G22" s="4">
        <f>H22-F22</f>
        <v/>
      </c>
      <c r="H22" s="4">
        <f>D22*E22</f>
        <v/>
      </c>
      <c r="I22" s="2" t="inlineStr">
        <is>
          <t>рынок 11,5–15,5 тыс.</t>
        </is>
      </c>
    </row>
    <row r="23">
      <c r="A23" s="2" t="inlineStr">
        <is>
          <t>05 Стены и перегородки</t>
        </is>
      </c>
      <c r="B23" s="2" t="inlineStr">
        <is>
          <t>Перегородки газобетон 150 мм</t>
        </is>
      </c>
      <c r="C23" s="2" t="inlineStr">
        <is>
          <t>м³</t>
        </is>
      </c>
      <c r="D23" s="9" t="n">
        <v>57.47</v>
      </c>
      <c r="E23" s="4" t="n">
        <v>14000</v>
      </c>
      <c r="F23" s="4">
        <f>H23*0.6</f>
        <v/>
      </c>
      <c r="G23" s="4">
        <f>H23-F23</f>
        <v/>
      </c>
      <c r="H23" s="4">
        <f>D23*E23</f>
        <v/>
      </c>
      <c r="I23" s="2" t="inlineStr">
        <is>
          <t>мелкий блок дороже на м³</t>
        </is>
      </c>
    </row>
    <row r="24">
      <c r="A24" s="2" t="inlineStr">
        <is>
          <t>05 Стены и перегородки</t>
        </is>
      </c>
      <c r="B24" s="2" t="inlineStr">
        <is>
          <t>Противопожарные стены гараж/лестница, тамбур-шлюз (EI 150, двери EI 60)</t>
        </is>
      </c>
      <c r="C24" s="2" t="inlineStr">
        <is>
          <t>компл</t>
        </is>
      </c>
      <c r="D24" s="9" t="n">
        <v>1</v>
      </c>
      <c r="E24" s="4" t="n">
        <v>450000</v>
      </c>
      <c r="F24" s="4">
        <f>H24*0.6</f>
        <v/>
      </c>
      <c r="G24" s="4">
        <f>H24-F24</f>
        <v/>
      </c>
      <c r="H24" s="4">
        <f>D24*E24</f>
        <v/>
      </c>
      <c r="I24" s="2" t="inlineStr">
        <is>
          <t>СП 4.13130 — требование раздела ПБ</t>
        </is>
      </c>
    </row>
    <row r="25">
      <c r="A25" s="2" t="inlineStr">
        <is>
          <t>06 Кровля</t>
        </is>
      </c>
      <c r="B25" s="2" t="inlineStr">
        <is>
          <t>Чердачное перекрытие деревянное утеплённое 250 мм</t>
        </is>
      </c>
      <c r="C25" s="2" t="inlineStr">
        <is>
          <t>м²</t>
        </is>
      </c>
      <c r="D25" s="9" t="n">
        <v>473.73</v>
      </c>
      <c r="E25" s="4" t="n">
        <v>7000</v>
      </c>
      <c r="F25" s="4">
        <f>H25*0.6</f>
        <v/>
      </c>
      <c r="G25" s="4">
        <f>H25-F25</f>
        <v/>
      </c>
      <c r="H25" s="4">
        <f>D25*E25</f>
        <v/>
      </c>
      <c r="I25" s="2" t="inlineStr">
        <is>
          <t>рынок 6–8,5 тыс.</t>
        </is>
      </c>
    </row>
    <row r="26">
      <c r="A26" s="2" t="inlineStr">
        <is>
          <t>06 Кровля</t>
        </is>
      </c>
      <c r="B26" s="2" t="inlineStr">
        <is>
          <t>Скатная кровля: стропила, ОСП, мембраны, кликфальц, водосток, снегозадержание</t>
        </is>
      </c>
      <c r="C26" s="2" t="inlineStr">
        <is>
          <t>м²</t>
        </is>
      </c>
      <c r="D26" s="9" t="n">
        <v>570.9299999999999</v>
      </c>
      <c r="E26" s="4" t="n">
        <v>11000</v>
      </c>
      <c r="F26" s="4">
        <f>H26*0.6</f>
        <v/>
      </c>
      <c r="G26" s="4">
        <f>H26-F26</f>
        <v/>
      </c>
      <c r="H26" s="4">
        <f>D26*E26</f>
        <v/>
      </c>
      <c r="I26" s="2" t="inlineStr">
        <is>
          <t>рынок 9–13 тыс.; СХ 19,6 тыс.</t>
        </is>
      </c>
    </row>
    <row r="27">
      <c r="A27" s="2" t="inlineStr">
        <is>
          <t>06 Кровля</t>
        </is>
      </c>
      <c r="B27" s="2" t="inlineStr">
        <is>
          <t>Плоская кровля: эксплуатируемая (A, B) / неэксплуатируемая (C)</t>
        </is>
      </c>
      <c r="C27" s="2" t="inlineStr">
        <is>
          <t>м²</t>
        </is>
      </c>
      <c r="D27" s="9" t="n">
        <v>233.34</v>
      </c>
      <c r="E27" s="4" t="n">
        <v>12500</v>
      </c>
      <c r="F27" s="4">
        <f>H27*0.6</f>
        <v/>
      </c>
      <c r="G27" s="4">
        <f>H27-F27</f>
        <v/>
      </c>
      <c r="H27" s="4">
        <f>D27*E27</f>
        <v/>
      </c>
      <c r="I27" s="2" t="inlineStr">
        <is>
          <t>рынок 9–16 тыс.</t>
        </is>
      </c>
    </row>
    <row r="28">
      <c r="A28" s="2" t="inlineStr">
        <is>
          <t>06 Кровля</t>
        </is>
      </c>
      <c r="B28" s="2" t="inlineStr">
        <is>
          <t>Каркасные фронтоны</t>
        </is>
      </c>
      <c r="C28" s="2" t="inlineStr">
        <is>
          <t>м²</t>
        </is>
      </c>
      <c r="D28" s="9" t="n">
        <v>186.21</v>
      </c>
      <c r="E28" s="4" t="n">
        <v>5500</v>
      </c>
      <c r="F28" s="4">
        <f>H28*0.6</f>
        <v/>
      </c>
      <c r="G28" s="4">
        <f>H28-F28</f>
        <v/>
      </c>
      <c r="H28" s="4">
        <f>D28*E28</f>
        <v/>
      </c>
      <c r="I28" s="2" t="inlineStr">
        <is>
          <t>рынок МО</t>
        </is>
      </c>
    </row>
    <row r="29">
      <c r="A29" s="2" t="inlineStr">
        <is>
          <t>07 Фасады</t>
        </is>
      </c>
      <c r="B29" s="2" t="inlineStr">
        <is>
          <t>Утепление вентфасада минвата 100 мм + ветрозащита + подсистема</t>
        </is>
      </c>
      <c r="C29" s="2" t="inlineStr">
        <is>
          <t>м²</t>
        </is>
      </c>
      <c r="D29" s="9" t="n">
        <v>1310</v>
      </c>
      <c r="E29" s="4" t="n">
        <v>2400</v>
      </c>
      <c r="F29" s="4">
        <f>H29*0.55</f>
        <v/>
      </c>
      <c r="G29" s="4">
        <f>H29-F29</f>
        <v/>
      </c>
      <c r="H29" s="4">
        <f>D29*E29</f>
        <v/>
      </c>
      <c r="I29" s="2" t="inlineStr">
        <is>
          <t>подсистема 1,2–1,5 + утеплитель 1,0</t>
        </is>
      </c>
    </row>
    <row r="30">
      <c r="A30" s="2" t="inlineStr">
        <is>
          <t>07 Фасады</t>
        </is>
      </c>
      <c r="B30" s="2" t="inlineStr">
        <is>
          <t>Облицовка натуральным сланцем (A 490 м²; B, C — акцент 150 м²)</t>
        </is>
      </c>
      <c r="C30" s="2" t="inlineStr">
        <is>
          <t>м²</t>
        </is>
      </c>
      <c r="D30" s="9" t="n">
        <v>490</v>
      </c>
      <c r="E30" s="4" t="n">
        <v>0</v>
      </c>
      <c r="F30" s="4">
        <f>H30*0.6</f>
        <v/>
      </c>
      <c r="G30" s="4">
        <f>H30-F30</f>
        <v/>
      </c>
      <c r="H30" s="4">
        <f>D30*E30</f>
        <v/>
      </c>
      <c r="I30" s="2" t="inlineStr">
        <is>
          <t>рынок 8–13 тыс.</t>
        </is>
      </c>
    </row>
    <row r="31">
      <c r="A31" s="2" t="inlineStr">
        <is>
          <t>07 Фасады</t>
        </is>
      </c>
      <c r="B31" s="2" t="inlineStr">
        <is>
          <t>Облицовка сланцем — акцентные плоскости (вход, торец к воде)</t>
        </is>
      </c>
      <c r="C31" s="2" t="inlineStr">
        <is>
          <t>м²</t>
        </is>
      </c>
      <c r="D31" s="9" t="n">
        <v>150</v>
      </c>
      <c r="E31" s="4" t="n">
        <v>10500</v>
      </c>
      <c r="F31" s="4">
        <f>H31*0.6</f>
        <v/>
      </c>
      <c r="G31" s="4">
        <f>H31-F31</f>
        <v/>
      </c>
      <c r="H31" s="4">
        <f>D31*E31</f>
        <v/>
      </c>
      <c r="I31" s="2" t="inlineStr">
        <is>
          <t>рычаг 3</t>
        </is>
      </c>
    </row>
    <row r="32">
      <c r="A32" s="2" t="inlineStr">
        <is>
          <t>07 Фасады</t>
        </is>
      </c>
      <c r="B32" s="2" t="inlineStr">
        <is>
          <t>Планкен лиственница с обработкой (A 600 м²; B, C — 940 м²)</t>
        </is>
      </c>
      <c r="C32" s="2" t="inlineStr">
        <is>
          <t>м²</t>
        </is>
      </c>
      <c r="D32" s="9" t="n">
        <v>600</v>
      </c>
      <c r="E32" s="4" t="n">
        <v>0</v>
      </c>
      <c r="F32" s="4">
        <f>H32*0.6</f>
        <v/>
      </c>
      <c r="G32" s="4">
        <f>H32-F32</f>
        <v/>
      </c>
      <c r="H32" s="4">
        <f>D32*E32</f>
        <v/>
      </c>
      <c r="I32" s="2" t="inlineStr">
        <is>
          <t>рынок 6,4–9,9 тыс.</t>
        </is>
      </c>
    </row>
    <row r="33">
      <c r="A33" s="2" t="inlineStr">
        <is>
          <t>07 Фасады</t>
        </is>
      </c>
      <c r="B33" s="2" t="inlineStr">
        <is>
          <t>Планкен лиственница с обработкой — основной материал</t>
        </is>
      </c>
      <c r="C33" s="2" t="inlineStr">
        <is>
          <t>м²</t>
        </is>
      </c>
      <c r="D33" s="9" t="n">
        <v>940</v>
      </c>
      <c r="E33" s="4" t="n">
        <v>6300</v>
      </c>
      <c r="F33" s="4">
        <f>H33*0.6</f>
        <v/>
      </c>
      <c r="G33" s="4">
        <f>H33-F33</f>
        <v/>
      </c>
      <c r="H33" s="4">
        <f>D33*E33</f>
        <v/>
      </c>
      <c r="I33" s="2" t="inlineStr">
        <is>
          <t>рычаг 3</t>
        </is>
      </c>
    </row>
    <row r="34">
      <c r="A34" s="2" t="inlineStr">
        <is>
          <t>07 Фасады</t>
        </is>
      </c>
      <c r="B34" s="2" t="inlineStr">
        <is>
          <t>Фасадный фальц</t>
        </is>
      </c>
      <c r="C34" s="2" t="inlineStr">
        <is>
          <t>м²</t>
        </is>
      </c>
      <c r="D34" s="9" t="n">
        <v>220</v>
      </c>
      <c r="E34" s="4" t="n">
        <v>5500</v>
      </c>
      <c r="F34" s="4">
        <f>H34*0.6</f>
        <v/>
      </c>
      <c r="G34" s="4">
        <f>H34-F34</f>
        <v/>
      </c>
      <c r="H34" s="4">
        <f>D34*E34</f>
        <v/>
      </c>
      <c r="I34" s="2" t="inlineStr">
        <is>
          <t>рынок 4,5–7,5 тыс.</t>
        </is>
      </c>
    </row>
    <row r="35">
      <c r="A35" s="2" t="inlineStr">
        <is>
          <t>07 Фасады</t>
        </is>
      </c>
      <c r="B35" s="2" t="inlineStr">
        <is>
          <t>Цоколь: облицовка, отмостка 1,0 м с утеплением</t>
        </is>
      </c>
      <c r="C35" s="2" t="inlineStr">
        <is>
          <t>м.п.</t>
        </is>
      </c>
      <c r="D35" s="9" t="n">
        <v>104</v>
      </c>
      <c r="E35" s="4" t="n">
        <v>8000</v>
      </c>
      <c r="F35" s="4">
        <f>H35*0.55</f>
        <v/>
      </c>
      <c r="G35" s="4">
        <f>H35-F35</f>
        <v/>
      </c>
      <c r="H35" s="4">
        <f>D35*E35</f>
        <v/>
      </c>
      <c r="I35" s="2" t="inlineStr">
        <is>
          <t>периметр ≈ 104 м</t>
        </is>
      </c>
    </row>
    <row r="36">
      <c r="A36" s="2" t="inlineStr">
        <is>
          <t>08 Окна, витражи, ворота</t>
        </is>
      </c>
      <c r="B36" s="2" t="inlineStr">
        <is>
          <t>Тёплые алюминиевые витражи: Schüco-уровень (A) / Alutech W72 (B, C)</t>
        </is>
      </c>
      <c r="C36" s="2" t="inlineStr">
        <is>
          <t>м²</t>
        </is>
      </c>
      <c r="D36" s="9" t="n">
        <v>170.64</v>
      </c>
      <c r="E36" s="4" t="n">
        <v>23000</v>
      </c>
      <c r="F36" s="4">
        <f>H36*0.75</f>
        <v/>
      </c>
      <c r="G36" s="4">
        <f>H36-F36</f>
        <v/>
      </c>
      <c r="H36" s="4">
        <f>D36*E36</f>
        <v/>
      </c>
      <c r="I36" s="2" t="inlineStr">
        <is>
          <t>Alutech под ключ 19–27 тыс.</t>
        </is>
      </c>
    </row>
    <row r="37">
      <c r="A37" s="2" t="inlineStr">
        <is>
          <t>08 Окна, витражи, ворота</t>
        </is>
      </c>
      <c r="B37" s="2" t="inlineStr">
        <is>
          <t>Окна ПВХ (Rehau/Veka класс А, R 0,8)</t>
        </is>
      </c>
      <c r="C37" s="2" t="inlineStr">
        <is>
          <t>м²</t>
        </is>
      </c>
      <c r="D37" s="9" t="n">
        <v>60</v>
      </c>
      <c r="E37" s="4" t="n">
        <v>15000</v>
      </c>
      <c r="F37" s="4">
        <f>H37*0.75</f>
        <v/>
      </c>
      <c r="G37" s="4">
        <f>H37-F37</f>
        <v/>
      </c>
      <c r="H37" s="4">
        <f>D37*E37</f>
        <v/>
      </c>
      <c r="I37" s="2" t="inlineStr">
        <is>
          <t>рынок 12–18 тыс.</t>
        </is>
      </c>
    </row>
    <row r="38">
      <c r="A38" s="2" t="inlineStr">
        <is>
          <t>08 Окна, витражи, ворота</t>
        </is>
      </c>
      <c r="B38" s="2" t="inlineStr">
        <is>
          <t>Откосы, отливы, подоконники</t>
        </is>
      </c>
      <c r="C38" s="2" t="inlineStr">
        <is>
          <t>м²</t>
        </is>
      </c>
      <c r="D38" s="9" t="n">
        <v>230.64</v>
      </c>
      <c r="E38" s="4" t="n">
        <v>2000</v>
      </c>
      <c r="F38" s="4">
        <f>H38*0.5</f>
        <v/>
      </c>
      <c r="G38" s="4">
        <f>H38-F38</f>
        <v/>
      </c>
      <c r="H38" s="4">
        <f>D38*E38</f>
        <v/>
      </c>
      <c r="I38" s="2" t="inlineStr">
        <is>
          <t>рынок МО</t>
        </is>
      </c>
    </row>
    <row r="39">
      <c r="A39" s="2" t="inlineStr">
        <is>
          <t>08 Окна, витражи, ворота</t>
        </is>
      </c>
      <c r="B39" s="2" t="inlineStr">
        <is>
          <t>Ворота гаражные секционные утеплённые с автоматикой 3.5×2.6 м</t>
        </is>
      </c>
      <c r="C39" s="2" t="inlineStr">
        <is>
          <t>шт</t>
        </is>
      </c>
      <c r="D39" s="9" t="n">
        <v>8</v>
      </c>
      <c r="E39" s="4" t="n">
        <v>220000</v>
      </c>
      <c r="F39" s="4">
        <f>H39*0.85</f>
        <v/>
      </c>
      <c r="G39" s="4">
        <f>H39-F39</f>
        <v/>
      </c>
      <c r="H39" s="4">
        <f>D39*E39</f>
        <v/>
      </c>
      <c r="I39" s="2" t="inlineStr">
        <is>
          <t>Doorhan/Alutech с приводом</t>
        </is>
      </c>
    </row>
    <row r="40">
      <c r="A40" s="2" t="inlineStr">
        <is>
          <t>08 Окна, витражи, ворота</t>
        </is>
      </c>
      <c r="B40" s="2" t="inlineStr">
        <is>
          <t>Ворота эллинга подъёмно-секционные (под катер на прицепе) 4.5×3.6 м</t>
        </is>
      </c>
      <c r="C40" s="2" t="inlineStr">
        <is>
          <t>шт</t>
        </is>
      </c>
      <c r="D40" s="9" t="n">
        <v>1</v>
      </c>
      <c r="E40" s="4" t="n">
        <v>520000</v>
      </c>
      <c r="F40" s="4">
        <f>H40*0.85</f>
        <v/>
      </c>
      <c r="G40" s="4">
        <f>H40-F40</f>
        <v/>
      </c>
      <c r="H40" s="4">
        <f>D40*E40</f>
        <v/>
      </c>
      <c r="I40" s="2" t="inlineStr">
        <is>
          <t>нестандарт, усиленный привод</t>
        </is>
      </c>
    </row>
    <row r="41">
      <c r="A41" s="2" t="inlineStr">
        <is>
          <t>08 Окна, витражи, ворота</t>
        </is>
      </c>
      <c r="B41" s="2" t="inlineStr">
        <is>
          <t>Двери наружные металлические утеплённые</t>
        </is>
      </c>
      <c r="C41" s="2" t="inlineStr">
        <is>
          <t>шт</t>
        </is>
      </c>
      <c r="D41" s="9" t="n">
        <v>6</v>
      </c>
      <c r="E41" s="4" t="n">
        <v>60000</v>
      </c>
      <c r="F41" s="4">
        <f>H41*0.8</f>
        <v/>
      </c>
      <c r="G41" s="4">
        <f>H41-F41</f>
        <v/>
      </c>
      <c r="H41" s="4">
        <f>D41*E41</f>
        <v/>
      </c>
      <c r="I41" s="2" t="inlineStr">
        <is>
          <t>рынок МО</t>
        </is>
      </c>
    </row>
    <row r="42">
      <c r="A42" s="2" t="inlineStr">
        <is>
          <t>08 Окна, витражи, ворота</t>
        </is>
      </c>
      <c r="B42" s="2" t="inlineStr">
        <is>
          <t>Входная группа КПП (алюминий, домофон, доводчик)</t>
        </is>
      </c>
      <c r="C42" s="2" t="inlineStr">
        <is>
          <t>компл</t>
        </is>
      </c>
      <c r="D42" s="9" t="n">
        <v>1</v>
      </c>
      <c r="E42" s="4" t="n">
        <v>280000</v>
      </c>
      <c r="F42" s="4">
        <f>H42*0.8</f>
        <v/>
      </c>
      <c r="G42" s="4">
        <f>H42-F42</f>
        <v/>
      </c>
      <c r="H42" s="4">
        <f>D42*E42</f>
        <v/>
      </c>
      <c r="I42" s="2" t="inlineStr">
        <is>
          <t>рынок МО</t>
        </is>
      </c>
    </row>
    <row r="43">
      <c r="A43" s="2" t="inlineStr">
        <is>
          <t>09 Наружные МК</t>
        </is>
      </c>
      <c r="B43" s="2" t="inlineStr">
        <is>
          <t>Наружная эвакуационная лестница 3-го типа со 2 этажа</t>
        </is>
      </c>
      <c r="C43" s="2" t="inlineStr">
        <is>
          <t>компл</t>
        </is>
      </c>
      <c r="D43" s="9" t="n">
        <v>1</v>
      </c>
      <c r="E43" s="4" t="n">
        <v>850000</v>
      </c>
      <c r="F43" s="4">
        <f>H43*0.7</f>
        <v/>
      </c>
      <c r="G43" s="4">
        <f>H43-F43</f>
        <v/>
      </c>
      <c r="H43" s="4">
        <f>D43*E43</f>
        <v/>
      </c>
      <c r="I43" s="2" t="inlineStr">
        <is>
          <t>второй эвакуационный выход Ф1.2</t>
        </is>
      </c>
    </row>
    <row r="44">
      <c r="A44" s="2" t="inlineStr">
        <is>
          <t>09 Наружные МК</t>
        </is>
      </c>
      <c r="B44" s="2" t="inlineStr">
        <is>
          <t>Навесы, ограждения эксплуатируемой кровли, козырьки</t>
        </is>
      </c>
      <c r="C44" s="2" t="inlineStr">
        <is>
          <t>компл</t>
        </is>
      </c>
      <c r="D44" s="9" t="n">
        <v>1</v>
      </c>
      <c r="E44" s="4" t="n">
        <v>1500000</v>
      </c>
      <c r="F44" s="4">
        <f>H44*0.7</f>
        <v/>
      </c>
      <c r="G44" s="4">
        <f>H44-F44</f>
        <v/>
      </c>
      <c r="H44" s="4">
        <f>D44*E44</f>
        <v/>
      </c>
      <c r="I44" s="2" t="inlineStr">
        <is>
          <t>без спецификации — по ведомости архитектора</t>
        </is>
      </c>
    </row>
    <row r="45">
      <c r="A45" s="2" t="inlineStr">
        <is>
          <t>10 Отделка черновая</t>
        </is>
      </c>
      <c r="B45" s="2" t="inlineStr">
        <is>
          <t>Техзона: упрочнённый пол (топпинг), обеспыливание стен и потолков, покраска</t>
        </is>
      </c>
      <c r="C45" s="2" t="inlineStr">
        <is>
          <t>м²</t>
        </is>
      </c>
      <c r="D45" s="9" t="n">
        <v>379.01</v>
      </c>
      <c r="E45" s="4" t="n">
        <v>3800</v>
      </c>
      <c r="F45" s="4">
        <f>H45*0.45</f>
        <v/>
      </c>
      <c r="G45" s="4">
        <f>H45-F45</f>
        <v/>
      </c>
      <c r="H45" s="4">
        <f>D45*E45</f>
        <v/>
      </c>
      <c r="I45" s="2" t="inlineStr">
        <is>
          <t>A — единая ставка ЭП-сметы</t>
        </is>
      </c>
    </row>
    <row r="46">
      <c r="A46" s="2" t="inlineStr">
        <is>
          <t>10 Отделка черновая</t>
        </is>
      </c>
      <c r="B46" s="2" t="inlineStr">
        <is>
          <t>Служебные, проживание, МОП: стяжка, штукатурка, ГКЛ, подготовка</t>
        </is>
      </c>
      <c r="C46" s="2" t="inlineStr">
        <is>
          <t>м²</t>
        </is>
      </c>
      <c r="D46" s="9" t="n">
        <v>473.38</v>
      </c>
      <c r="E46" s="4" t="n">
        <v>9000</v>
      </c>
      <c r="F46" s="4">
        <f>H46*0.45</f>
        <v/>
      </c>
      <c r="G46" s="4">
        <f>H46-F46</f>
        <v/>
      </c>
      <c r="H46" s="4">
        <f>D46*E46</f>
        <v/>
      </c>
      <c r="I46" s="2" t="inlineStr">
        <is>
          <t>рынок 8–14 тыс.</t>
        </is>
      </c>
    </row>
    <row r="47">
      <c r="A47" s="2" t="inlineStr">
        <is>
          <t>10 Отделка черновая</t>
        </is>
      </c>
      <c r="B47" s="2" t="inlineStr">
        <is>
          <t>Спортзал: стяжка с виброразвязкой, акустическая подготовка</t>
        </is>
      </c>
      <c r="C47" s="2" t="inlineStr">
        <is>
          <t>м²</t>
        </is>
      </c>
      <c r="D47" s="9" t="n">
        <v>109.15</v>
      </c>
      <c r="E47" s="4" t="n">
        <v>13000</v>
      </c>
      <c r="F47" s="4">
        <f>H47*0.5</f>
        <v/>
      </c>
      <c r="G47" s="4">
        <f>H47-F47</f>
        <v/>
      </c>
      <c r="H47" s="4">
        <f>D47*E47</f>
        <v/>
      </c>
      <c r="I47" s="2" t="inlineStr">
        <is>
          <t>свободные веса</t>
        </is>
      </c>
    </row>
    <row r="48">
      <c r="A48" s="2" t="inlineStr">
        <is>
          <t>11 Отделка чистовая</t>
        </is>
      </c>
      <c r="B48" s="2" t="inlineStr">
        <is>
          <t>Техзона: разметка, отбойники, полимерные полы в эллинге и котельной</t>
        </is>
      </c>
      <c r="C48" s="2" t="inlineStr">
        <is>
          <t>м²</t>
        </is>
      </c>
      <c r="D48" s="9" t="n">
        <v>379.01</v>
      </c>
      <c r="E48" s="4" t="n">
        <v>2500</v>
      </c>
      <c r="F48" s="4">
        <f>H48*0.6</f>
        <v/>
      </c>
      <c r="G48" s="4">
        <f>H48-F48</f>
        <v/>
      </c>
      <c r="H48" s="4">
        <f>D48*E48</f>
        <v/>
      </c>
      <c r="I48" s="2" t="inlineStr">
        <is>
          <t>A — единая ставка ЭП</t>
        </is>
      </c>
    </row>
    <row r="49">
      <c r="A49" s="2" t="inlineStr">
        <is>
          <t>11 Отделка чистовая</t>
        </is>
      </c>
      <c r="B49" s="2" t="inlineStr">
        <is>
          <t>Служебные и проживание: кварцвинил, керамогранит в с/у, покраска, Армстронг/натяжные, межкомнатные двери</t>
        </is>
      </c>
      <c r="C49" s="2" t="inlineStr">
        <is>
          <t>м²</t>
        </is>
      </c>
      <c r="D49" s="9" t="n">
        <v>473.38</v>
      </c>
      <c r="E49" s="4" t="n">
        <v>14000</v>
      </c>
      <c r="F49" s="4">
        <f>H49*0.6</f>
        <v/>
      </c>
      <c r="G49" s="4">
        <f>H49-F49</f>
        <v/>
      </c>
      <c r="H49" s="4">
        <f>D49*E49</f>
        <v/>
      </c>
      <c r="I49" s="2" t="inlineStr">
        <is>
          <t>минимальный стандарт — решение 05.10; C — shell &amp; core</t>
        </is>
      </c>
    </row>
    <row r="50">
      <c r="A50" s="2" t="inlineStr">
        <is>
          <t>11 Отделка чистовая</t>
        </is>
      </c>
      <c r="B50" s="2" t="inlineStr">
        <is>
          <t>Спортзал: спортивное покрытие, акустика, зеркала, раздевалка</t>
        </is>
      </c>
      <c r="C50" s="2" t="inlineStr">
        <is>
          <t>м²</t>
        </is>
      </c>
      <c r="D50" s="9" t="n">
        <v>109.15</v>
      </c>
      <c r="E50" s="4" t="n">
        <v>32000</v>
      </c>
      <c r="F50" s="4">
        <f>H50*0.65</f>
        <v/>
      </c>
      <c r="G50" s="4">
        <f>H50-F50</f>
        <v/>
      </c>
      <c r="H50" s="4">
        <f>D50*E50</f>
        <v/>
      </c>
      <c r="I50" s="2" t="inlineStr">
        <is>
          <t>по ТЗ интересантов, без лимита</t>
        </is>
      </c>
    </row>
    <row r="51">
      <c r="A51" s="2" t="inlineStr">
        <is>
          <t>11 Отделка чистовая</t>
        </is>
      </c>
      <c r="B51" s="2" t="inlineStr">
        <is>
          <t>Внутренние ограждения, поручни, техметаллоизделия</t>
        </is>
      </c>
      <c r="C51" s="2" t="inlineStr">
        <is>
          <t>компл</t>
        </is>
      </c>
      <c r="D51" s="9" t="n">
        <v>1</v>
      </c>
      <c r="E51" s="4" t="n">
        <v>1200000</v>
      </c>
      <c r="F51" s="4">
        <f>H51*0.7</f>
        <v/>
      </c>
      <c r="G51" s="4">
        <f>H51-F51</f>
        <v/>
      </c>
      <c r="H51" s="4">
        <f>D51*E51</f>
        <v/>
      </c>
      <c r="I51" s="2" t="inlineStr">
        <is>
          <t>рынок МО</t>
        </is>
      </c>
    </row>
    <row r="52">
      <c r="A52" s="2" t="inlineStr">
        <is>
          <t>12 Отопление (ОВ)</t>
        </is>
      </c>
      <c r="B52" s="2" t="inlineStr">
        <is>
          <t>Котельная: пеллетный котёл 60 кВт + бункер, электрокотёл 24 кВт, буфер 1 000 л, обвязка, автоматика (Qрасч ≈ 61 кВт)</t>
        </is>
      </c>
      <c r="C52" s="2" t="inlineStr">
        <is>
          <t>компл</t>
        </is>
      </c>
      <c r="D52" s="9" t="n">
        <v>1</v>
      </c>
      <c r="E52" s="4" t="n">
        <v>2300000</v>
      </c>
      <c r="F52" s="4">
        <f>H52*0.75</f>
        <v/>
      </c>
      <c r="G52" s="4">
        <f>H52-F52</f>
        <v/>
      </c>
      <c r="H52" s="4">
        <f>D52*E52</f>
        <v/>
      </c>
      <c r="I52" s="2" t="inlineStr">
        <is>
          <t>аналог 291-ОВ «Ромарио»</t>
        </is>
      </c>
    </row>
    <row r="53">
      <c r="A53" s="2" t="inlineStr">
        <is>
          <t>12 Отопление (ОВ)</t>
        </is>
      </c>
      <c r="B53" s="2" t="inlineStr">
        <is>
          <t>Дымоход нержавеющий утеплённый Ø200, h ≈ 11 м</t>
        </is>
      </c>
      <c r="C53" s="2" t="inlineStr">
        <is>
          <t>компл</t>
        </is>
      </c>
      <c r="D53" s="9" t="n">
        <v>1</v>
      </c>
      <c r="E53" s="4" t="n">
        <v>250000</v>
      </c>
      <c r="F53" s="4">
        <f>H53*0.75</f>
        <v/>
      </c>
      <c r="G53" s="4">
        <f>H53-F53</f>
        <v/>
      </c>
      <c r="H53" s="4">
        <f>D53*E53</f>
        <v/>
      </c>
      <c r="I53" s="2" t="inlineStr">
        <is>
          <t>рынок</t>
        </is>
      </c>
    </row>
    <row r="54">
      <c r="A54" s="2" t="inlineStr">
        <is>
          <t>12 Отопление (ОВ)</t>
        </is>
      </c>
      <c r="B54" s="2" t="inlineStr">
        <is>
          <t>Тёплые полы водяные: проживание, МОП, спортзал</t>
        </is>
      </c>
      <c r="C54" s="2" t="inlineStr">
        <is>
          <t>м²</t>
        </is>
      </c>
      <c r="D54" s="9" t="n">
        <v>522.53</v>
      </c>
      <c r="E54" s="4" t="n">
        <v>2300</v>
      </c>
      <c r="F54" s="4">
        <f>H54*0.5</f>
        <v/>
      </c>
      <c r="G54" s="4">
        <f>H54-F54</f>
        <v/>
      </c>
      <c r="H54" s="4">
        <f>D54*E54</f>
        <v/>
      </c>
      <c r="I54" s="2" t="inlineStr">
        <is>
          <t>рынок МО</t>
        </is>
      </c>
    </row>
    <row r="55">
      <c r="A55" s="2" t="inlineStr">
        <is>
          <t>12 Отопление (ОВ)</t>
        </is>
      </c>
      <c r="B55" s="2" t="inlineStr">
        <is>
          <t>Конвекторы внутрипольные у витражей, радиаторы в с/у и КПП</t>
        </is>
      </c>
      <c r="C55" s="2" t="inlineStr">
        <is>
          <t>шт</t>
        </is>
      </c>
      <c r="D55" s="9" t="n">
        <v>28</v>
      </c>
      <c r="E55" s="4" t="n">
        <v>32000</v>
      </c>
      <c r="F55" s="4">
        <f>H55*0.75</f>
        <v/>
      </c>
      <c r="G55" s="4">
        <f>H55-F55</f>
        <v/>
      </c>
      <c r="H55" s="4">
        <f>D55*E55</f>
        <v/>
      </c>
      <c r="I55" s="2" t="inlineStr">
        <is>
          <t>рынок</t>
        </is>
      </c>
    </row>
    <row r="56">
      <c r="A56" s="2" t="inlineStr">
        <is>
          <t>12 Отопление (ОВ)</t>
        </is>
      </c>
      <c r="B56" s="2" t="inlineStr">
        <is>
          <t>Воздушно-отопительные агрегаты гаражей и эллинга (+5 °C)</t>
        </is>
      </c>
      <c r="C56" s="2" t="inlineStr">
        <is>
          <t>шт</t>
        </is>
      </c>
      <c r="D56" s="9" t="n">
        <v>6</v>
      </c>
      <c r="E56" s="4" t="n">
        <v>95000</v>
      </c>
      <c r="F56" s="4">
        <f>H56*0.75</f>
        <v/>
      </c>
      <c r="G56" s="4">
        <f>H56-F56</f>
        <v/>
      </c>
      <c r="H56" s="4">
        <f>D56*E56</f>
        <v/>
      </c>
      <c r="I56" s="2" t="inlineStr">
        <is>
          <t>Volcano/аналог</t>
        </is>
      </c>
    </row>
    <row r="57">
      <c r="A57" s="2" t="inlineStr">
        <is>
          <t>12 Отопление (ОВ)</t>
        </is>
      </c>
      <c r="B57" s="2" t="inlineStr">
        <is>
          <t>Магистрали, коллекторы, изоляция, ПНР</t>
        </is>
      </c>
      <c r="C57" s="2" t="inlineStr">
        <is>
          <t>компл</t>
        </is>
      </c>
      <c r="D57" s="9" t="n">
        <v>1</v>
      </c>
      <c r="E57" s="4" t="n">
        <v>900000</v>
      </c>
      <c r="F57" s="4">
        <f>H57*0.55</f>
        <v/>
      </c>
      <c r="G57" s="4">
        <f>H57-F57</f>
        <v/>
      </c>
      <c r="H57" s="4">
        <f>D57*E57</f>
        <v/>
      </c>
      <c r="I57" s="2" t="inlineStr">
        <is>
          <t>рынок</t>
        </is>
      </c>
    </row>
    <row r="58">
      <c r="A58" s="2" t="inlineStr">
        <is>
          <t>13 Водоснабжение и канализация (ВК)</t>
        </is>
      </c>
      <c r="B58" s="2" t="inlineStr">
        <is>
          <t>Узел ввода, учёт, фильтрация/умягчение</t>
        </is>
      </c>
      <c r="C58" s="2" t="inlineStr">
        <is>
          <t>компл</t>
        </is>
      </c>
      <c r="D58" s="9" t="n">
        <v>1</v>
      </c>
      <c r="E58" s="4" t="n">
        <v>380000</v>
      </c>
      <c r="F58" s="4">
        <f>H58*0.75</f>
        <v/>
      </c>
      <c r="G58" s="4">
        <f>H58-F58</f>
        <v/>
      </c>
      <c r="H58" s="4">
        <f>D58*E58</f>
        <v/>
      </c>
      <c r="I58" s="2" t="inlineStr">
        <is>
          <t>посёлковая сеть</t>
        </is>
      </c>
    </row>
    <row r="59">
      <c r="A59" s="2" t="inlineStr">
        <is>
          <t>13 Водоснабжение и канализация (ВК)</t>
        </is>
      </c>
      <c r="B59" s="2" t="inlineStr">
        <is>
          <t>Бойлер косвенного нагрева 500 л + рециркуляция ГВС</t>
        </is>
      </c>
      <c r="C59" s="2" t="inlineStr">
        <is>
          <t>компл</t>
        </is>
      </c>
      <c r="D59" s="9" t="n">
        <v>1</v>
      </c>
      <c r="E59" s="4" t="n">
        <v>330000</v>
      </c>
      <c r="F59" s="4">
        <f>H59*0.75</f>
        <v/>
      </c>
      <c r="G59" s="4">
        <f>H59-F59</f>
        <v/>
      </c>
      <c r="H59" s="4">
        <f>D59*E59</f>
        <v/>
      </c>
      <c r="I59" s="2" t="inlineStr">
        <is>
          <t>рынок</t>
        </is>
      </c>
    </row>
    <row r="60">
      <c r="A60" s="2" t="inlineStr">
        <is>
          <t>13 Водоснабжение и канализация (ВК)</t>
        </is>
      </c>
      <c r="B60" s="2" t="inlineStr">
        <is>
          <t>Внутренние сети В1/Т3/Т4/К1 с изоляцией</t>
        </is>
      </c>
      <c r="C60" s="2" t="inlineStr">
        <is>
          <t>м²</t>
        </is>
      </c>
      <c r="D60" s="9" t="n">
        <v>961.54</v>
      </c>
      <c r="E60" s="4" t="n">
        <v>1100</v>
      </c>
      <c r="F60" s="4">
        <f>H60*0.5</f>
        <v/>
      </c>
      <c r="G60" s="4">
        <f>H60-F60</f>
        <v/>
      </c>
      <c r="H60" s="4">
        <f>D60*E60</f>
        <v/>
      </c>
      <c r="I60" s="2" t="inlineStr">
        <is>
          <t>рынок МО</t>
        </is>
      </c>
    </row>
    <row r="61">
      <c r="A61" s="2" t="inlineStr">
        <is>
          <t>13 Водоснабжение и канализация (ВК)</t>
        </is>
      </c>
      <c r="B61" s="2" t="inlineStr">
        <is>
          <t>Санузлы: унитаз, раковина, душ/поддон, смесители — 10 шт.</t>
        </is>
      </c>
      <c r="C61" s="2" t="inlineStr">
        <is>
          <t>шт</t>
        </is>
      </c>
      <c r="D61" s="9" t="n">
        <v>10</v>
      </c>
      <c r="E61" s="4" t="n">
        <v>110000</v>
      </c>
      <c r="F61" s="4">
        <f>H61*0.7</f>
        <v/>
      </c>
      <c r="G61" s="4">
        <f>H61-F61</f>
        <v/>
      </c>
      <c r="H61" s="4">
        <f>D61*E61</f>
        <v/>
      </c>
      <c r="I61" s="2" t="inlineStr">
        <is>
          <t>C — только КПП и раздевалка, прочие — точки подключения</t>
        </is>
      </c>
    </row>
    <row r="62">
      <c r="A62" s="2" t="inlineStr">
        <is>
          <t>13 Водоснабжение и канализация (ВК)</t>
        </is>
      </c>
      <c r="B62" s="2" t="inlineStr">
        <is>
          <t>Трапы и лотки гаражей/эллинга, бензомаслоуловитель (ЛОС) 1 л/с</t>
        </is>
      </c>
      <c r="C62" s="2" t="inlineStr">
        <is>
          <t>компл</t>
        </is>
      </c>
      <c r="D62" s="9" t="n">
        <v>1</v>
      </c>
      <c r="E62" s="4" t="n">
        <v>600000</v>
      </c>
      <c r="F62" s="4">
        <f>H62*0.75</f>
        <v/>
      </c>
      <c r="G62" s="4">
        <f>H62-F62</f>
        <v/>
      </c>
      <c r="H62" s="4">
        <f>D62*E62</f>
        <v/>
      </c>
      <c r="I62" s="2" t="inlineStr">
        <is>
          <t>ВОЗ — обязательно</t>
        </is>
      </c>
    </row>
    <row r="63">
      <c r="A63" s="2" t="inlineStr">
        <is>
          <t>13 Водоснабжение и канализация (ВК)</t>
        </is>
      </c>
      <c r="B63" s="2" t="inlineStr">
        <is>
          <t>Кухня столовой, прачечная: подключение оборудования</t>
        </is>
      </c>
      <c r="C63" s="2" t="inlineStr">
        <is>
          <t>компл</t>
        </is>
      </c>
      <c r="D63" s="9" t="n">
        <v>1</v>
      </c>
      <c r="E63" s="4" t="n">
        <v>200000</v>
      </c>
      <c r="F63" s="4">
        <f>H63*0.5</f>
        <v/>
      </c>
      <c r="G63" s="4">
        <f>H63-F63</f>
        <v/>
      </c>
      <c r="H63" s="4">
        <f>D63*E63</f>
        <v/>
      </c>
      <c r="I63" s="2" t="inlineStr">
        <is>
          <t>рынок</t>
        </is>
      </c>
    </row>
    <row r="64">
      <c r="A64" s="2" t="inlineStr">
        <is>
          <t>14 Вентиляция и кондиционирование (ОВК)</t>
        </is>
      </c>
      <c r="B64" s="2" t="inlineStr">
        <is>
          <t>П1/В1 проживание 1 300 м³/ч с рекуператором, воздуховоды, распределители</t>
        </is>
      </c>
      <c r="C64" s="2" t="inlineStr">
        <is>
          <t>компл</t>
        </is>
      </c>
      <c r="D64" s="9" t="n">
        <v>1</v>
      </c>
      <c r="E64" s="4" t="n">
        <v>2100000</v>
      </c>
      <c r="F64" s="4">
        <f>H64*0.7</f>
        <v/>
      </c>
      <c r="G64" s="4">
        <f>H64-F64</f>
        <v/>
      </c>
      <c r="H64" s="4">
        <f>D64*E64</f>
        <v/>
      </c>
      <c r="I64" s="2" t="inlineStr">
        <is>
          <t>рынок</t>
        </is>
      </c>
    </row>
    <row r="65">
      <c r="A65" s="2" t="inlineStr">
        <is>
          <t>14 Вентиляция и кондиционирование (ОВК)</t>
        </is>
      </c>
      <c r="B65" s="2" t="inlineStr">
        <is>
          <t>П2/В2 спортзал 1 200 м³/ч с рекуператором и охладителем</t>
        </is>
      </c>
      <c r="C65" s="2" t="inlineStr">
        <is>
          <t>компл</t>
        </is>
      </c>
      <c r="D65" s="9" t="n">
        <v>1</v>
      </c>
      <c r="E65" s="4" t="n">
        <v>1700000</v>
      </c>
      <c r="F65" s="4">
        <f>H65*0.7</f>
        <v/>
      </c>
      <c r="G65" s="4">
        <f>H65-F65</f>
        <v/>
      </c>
      <c r="H65" s="4">
        <f>D65*E65</f>
        <v/>
      </c>
      <c r="I65" s="2" t="inlineStr">
        <is>
          <t>по ТЗ спортзала</t>
        </is>
      </c>
    </row>
    <row r="66">
      <c r="A66" s="2" t="inlineStr">
        <is>
          <t>14 Вентиляция и кондиционирование (ОВК)</t>
        </is>
      </c>
      <c r="B66" s="2" t="inlineStr">
        <is>
          <t>В3 гаражи и эллинг: вытяжка по датчикам CO/паров, клапаны</t>
        </is>
      </c>
      <c r="C66" s="2" t="inlineStr">
        <is>
          <t>компл</t>
        </is>
      </c>
      <c r="D66" s="9" t="n">
        <v>1</v>
      </c>
      <c r="E66" s="4" t="n">
        <v>650000</v>
      </c>
      <c r="F66" s="4">
        <f>H66*0.7</f>
        <v/>
      </c>
      <c r="G66" s="4">
        <f>H66-F66</f>
        <v/>
      </c>
      <c r="H66" s="4">
        <f>D66*E66</f>
        <v/>
      </c>
      <c r="I66" s="2" t="inlineStr">
        <is>
          <t>без приточки</t>
        </is>
      </c>
    </row>
    <row r="67">
      <c r="A67" s="2" t="inlineStr">
        <is>
          <t>14 Вентиляция и кондиционирование (ОВК)</t>
        </is>
      </c>
      <c r="B67" s="2" t="inlineStr">
        <is>
          <t>Кондиционирование: мини-VRF 22 кВт — спортзал, столовая, КПП, охрана</t>
        </is>
      </c>
      <c r="C67" s="2" t="inlineStr">
        <is>
          <t>компл</t>
        </is>
      </c>
      <c r="D67" s="9" t="n">
        <v>1</v>
      </c>
      <c r="E67" s="4" t="n">
        <v>1800000</v>
      </c>
      <c r="F67" s="4">
        <f>H67*0.75</f>
        <v/>
      </c>
      <c r="G67" s="4">
        <f>H67-F67</f>
        <v/>
      </c>
      <c r="H67" s="4">
        <f>D67*E67</f>
        <v/>
      </c>
      <c r="I67" s="2" t="inlineStr">
        <is>
          <t>A — «условно» ЭП</t>
        </is>
      </c>
    </row>
    <row r="68">
      <c r="A68" s="2" t="inlineStr">
        <is>
          <t>15 Электроснабжение и освещение (ЭОМ)</t>
        </is>
      </c>
      <c r="B68" s="2" t="inlineStr">
        <is>
          <t>ВРУ/ГРЩ 100 А, учёт, АВР на ДГУ посёлка, щиты этажные</t>
        </is>
      </c>
      <c r="C68" s="2" t="inlineStr">
        <is>
          <t>компл</t>
        </is>
      </c>
      <c r="D68" s="9" t="n">
        <v>1</v>
      </c>
      <c r="E68" s="4" t="n">
        <v>750000</v>
      </c>
      <c r="F68" s="4">
        <f>H68*0.75</f>
        <v/>
      </c>
      <c r="G68" s="4">
        <f>H68-F68</f>
        <v/>
      </c>
      <c r="H68" s="4">
        <f>D68*E68</f>
        <v/>
      </c>
      <c r="I68" s="2" t="inlineStr">
        <is>
          <t>Pр ≈ 60 кВт</t>
        </is>
      </c>
    </row>
    <row r="69">
      <c r="A69" s="2" t="inlineStr">
        <is>
          <t>15 Электроснабжение и освещение (ЭОМ)</t>
        </is>
      </c>
      <c r="B69" s="2" t="inlineStr">
        <is>
          <t>Кабельные сети, розетки, выключатели, освещение (светильники служебного стандарта)</t>
        </is>
      </c>
      <c r="C69" s="2" t="inlineStr">
        <is>
          <t>м²</t>
        </is>
      </c>
      <c r="D69" s="9" t="n">
        <v>961.54</v>
      </c>
      <c r="E69" s="4" t="n">
        <v>3300</v>
      </c>
      <c r="F69" s="4">
        <f>H69*0.55</f>
        <v/>
      </c>
      <c r="G69" s="4">
        <f>H69-F69</f>
        <v/>
      </c>
      <c r="H69" s="4">
        <f>D69*E69</f>
        <v/>
      </c>
      <c r="I69" s="2" t="inlineStr">
        <is>
          <t>A — 6,0 млн ЭП-сметы</t>
        </is>
      </c>
    </row>
    <row r="70">
      <c r="A70" s="2" t="inlineStr">
        <is>
          <t>15 Электроснабжение и освещение (ЭОМ)</t>
        </is>
      </c>
      <c r="B70" s="2" t="inlineStr">
        <is>
          <t>Освещение спортзала и фасадов (архитектурное, к воде)</t>
        </is>
      </c>
      <c r="C70" s="2" t="inlineStr">
        <is>
          <t>компл</t>
        </is>
      </c>
      <c r="D70" s="9" t="n">
        <v>1</v>
      </c>
      <c r="E70" s="4" t="n">
        <v>700000</v>
      </c>
      <c r="F70" s="4">
        <f>H70*0.75</f>
        <v/>
      </c>
      <c r="G70" s="4">
        <f>H70-F70</f>
        <v/>
      </c>
      <c r="H70" s="4">
        <f>D70*E70</f>
        <v/>
      </c>
      <c r="I70" s="2" t="inlineStr">
        <is>
          <t>рынок</t>
        </is>
      </c>
    </row>
    <row r="71">
      <c r="A71" s="2" t="inlineStr">
        <is>
          <t>15 Электроснабжение и освещение (ЭОМ)</t>
        </is>
      </c>
      <c r="B71" s="2" t="inlineStr">
        <is>
          <t>Зарядные станции 7,4 кВт с управлением нагрузкой</t>
        </is>
      </c>
      <c r="C71" s="2" t="inlineStr">
        <is>
          <t>шт</t>
        </is>
      </c>
      <c r="D71" s="9" t="n">
        <v>4</v>
      </c>
      <c r="E71" s="4" t="n">
        <v>120000</v>
      </c>
      <c r="F71" s="4">
        <f>H71*0.8</f>
        <v/>
      </c>
      <c r="G71" s="4">
        <f>H71-F71</f>
        <v/>
      </c>
      <c r="H71" s="4">
        <f>D71*E71</f>
        <v/>
      </c>
      <c r="I71" s="2" t="inlineStr">
        <is>
          <t>C — только кабельные трассы</t>
        </is>
      </c>
    </row>
    <row r="72">
      <c r="A72" s="2" t="inlineStr">
        <is>
          <t>15 Электроснабжение и освещение (ЭОМ)</t>
        </is>
      </c>
      <c r="B72" s="2" t="inlineStr">
        <is>
          <t>Молниезащита, заземление, уравнивание потенциалов</t>
        </is>
      </c>
      <c r="C72" s="2" t="inlineStr">
        <is>
          <t>компл</t>
        </is>
      </c>
      <c r="D72" s="9" t="n">
        <v>1</v>
      </c>
      <c r="E72" s="4" t="n">
        <v>450000</v>
      </c>
      <c r="F72" s="4">
        <f>H72*0.6</f>
        <v/>
      </c>
      <c r="G72" s="4">
        <f>H72-F72</f>
        <v/>
      </c>
      <c r="H72" s="4">
        <f>D72*E72</f>
        <v/>
      </c>
      <c r="I72" s="2" t="inlineStr">
        <is>
          <t>аналог 291-МЗ</t>
        </is>
      </c>
    </row>
    <row r="73">
      <c r="A73" s="2" t="inlineStr">
        <is>
          <t>16 Слаботочные системы и пожарная безопасность (СС, ПБ)</t>
        </is>
      </c>
      <c r="B73" s="2" t="inlineStr">
        <is>
          <t>АПС адресная + СОУЭ 2 типа</t>
        </is>
      </c>
      <c r="C73" s="2" t="inlineStr">
        <is>
          <t>м²</t>
        </is>
      </c>
      <c r="D73" s="9" t="n">
        <v>961.54</v>
      </c>
      <c r="E73" s="4" t="n">
        <v>650</v>
      </c>
      <c r="F73" s="4">
        <f>H73*0.6</f>
        <v/>
      </c>
      <c r="G73" s="4">
        <f>H73-F73</f>
        <v/>
      </c>
      <c r="H73" s="4">
        <f>D73*E73</f>
        <v/>
      </c>
      <c r="I73" s="2" t="inlineStr">
        <is>
          <t>СП 484, 3.13130</t>
        </is>
      </c>
    </row>
    <row r="74">
      <c r="A74" s="2" t="inlineStr">
        <is>
          <t>16 Слаботочные системы и пожарная безопасность (СС, ПБ)</t>
        </is>
      </c>
      <c r="B74" s="2" t="inlineStr">
        <is>
          <t>Модульное пожаротушение эллинга и котельной (по разделу ПБ)</t>
        </is>
      </c>
      <c r="C74" s="2" t="inlineStr">
        <is>
          <t>компл</t>
        </is>
      </c>
      <c r="D74" s="9" t="n">
        <v>1</v>
      </c>
      <c r="E74" s="4" t="n">
        <v>400000</v>
      </c>
      <c r="F74" s="4">
        <f>H74*0.8</f>
        <v/>
      </c>
      <c r="G74" s="4">
        <f>H74-F74</f>
        <v/>
      </c>
      <c r="H74" s="4">
        <f>D74*E74</f>
        <v/>
      </c>
      <c r="I74" s="2" t="inlineStr">
        <is>
          <t>опция — проверить в ПБ</t>
        </is>
      </c>
    </row>
    <row r="75">
      <c r="A75" s="2" t="inlineStr">
        <is>
          <t>16 Слаботочные системы и пожарная безопасность (СС, ПБ)</t>
        </is>
      </c>
      <c r="B75" s="2" t="inlineStr">
        <is>
          <t>КПП: СКУД, шлагбаум, распознавание номеров, домофония</t>
        </is>
      </c>
      <c r="C75" s="2" t="inlineStr">
        <is>
          <t>компл</t>
        </is>
      </c>
      <c r="D75" s="9" t="n">
        <v>1</v>
      </c>
      <c r="E75" s="4" t="n">
        <v>700000</v>
      </c>
      <c r="F75" s="4">
        <f>H75*0.75</f>
        <v/>
      </c>
      <c r="G75" s="4">
        <f>H75-F75</f>
        <v/>
      </c>
      <c r="H75" s="4">
        <f>D75*E75</f>
        <v/>
      </c>
      <c r="I75" s="2" t="inlineStr">
        <is>
          <t>въезд посёлка</t>
        </is>
      </c>
    </row>
    <row r="76">
      <c r="A76" s="2" t="inlineStr">
        <is>
          <t>16 Слаботочные системы и пожарная безопасность (СС, ПБ)</t>
        </is>
      </c>
      <c r="B76" s="2" t="inlineStr">
        <is>
          <t>Видеонаблюдение 16 камер + сервер, охранная сигнализация</t>
        </is>
      </c>
      <c r="C76" s="2" t="inlineStr">
        <is>
          <t>компл</t>
        </is>
      </c>
      <c r="D76" s="9" t="n">
        <v>1</v>
      </c>
      <c r="E76" s="4" t="n">
        <v>650000</v>
      </c>
      <c r="F76" s="4">
        <f>H76*0.75</f>
        <v/>
      </c>
      <c r="G76" s="4">
        <f>H76-F76</f>
        <v/>
      </c>
      <c r="H76" s="4">
        <f>D76*E76</f>
        <v/>
      </c>
      <c r="I76" s="2" t="inlineStr">
        <is>
          <t>рынок</t>
        </is>
      </c>
    </row>
    <row r="77">
      <c r="A77" s="2" t="inlineStr">
        <is>
          <t>16 Слаботочные системы и пожарная безопасность (СС, ПБ)</t>
        </is>
      </c>
      <c r="B77" s="2" t="inlineStr">
        <is>
          <t>СКС, Wi-Fi, стойка, диспетчеризация инженерии (Home Assistant)</t>
        </is>
      </c>
      <c r="C77" s="2" t="inlineStr">
        <is>
          <t>компл</t>
        </is>
      </c>
      <c r="D77" s="9" t="n">
        <v>1</v>
      </c>
      <c r="E77" s="4" t="n">
        <v>550000</v>
      </c>
      <c r="F77" s="4">
        <f>H77*0.7</f>
        <v/>
      </c>
      <c r="G77" s="4">
        <f>H77-F77</f>
        <v/>
      </c>
      <c r="H77" s="4">
        <f>D77*E77</f>
        <v/>
      </c>
      <c r="I77" s="2" t="inlineStr">
        <is>
          <t>аналог 291-СС</t>
        </is>
      </c>
    </row>
    <row r="78">
      <c r="A78" s="2" t="inlineStr">
        <is>
          <t>16 Слаботочные системы и пожарная безопасность (СС, ПБ)</t>
        </is>
      </c>
      <c r="B78" s="2" t="inlineStr">
        <is>
          <t>Пусконаладка всех инженерных систем</t>
        </is>
      </c>
      <c r="C78" s="2" t="inlineStr">
        <is>
          <t>компл</t>
        </is>
      </c>
      <c r="D78" s="9" t="n">
        <v>1</v>
      </c>
      <c r="E78" s="4" t="n">
        <v>650000</v>
      </c>
      <c r="F78" s="4">
        <f>H78*0.0</f>
        <v/>
      </c>
      <c r="G78" s="4">
        <f>H78-F78</f>
        <v/>
      </c>
      <c r="H78" s="4">
        <f>D78*E78</f>
        <v/>
      </c>
      <c r="I78" s="2" t="inlineStr">
        <is>
          <t>рынок</t>
        </is>
      </c>
    </row>
    <row r="79">
      <c r="A79" s="6" t="inlineStr"/>
      <c r="B79" s="6" t="inlineStr">
        <is>
          <t>ИТОГО СМР</t>
        </is>
      </c>
      <c r="C79" s="6" t="inlineStr"/>
      <c r="D79" s="10" t="inlineStr"/>
      <c r="E79" s="7" t="inlineStr"/>
      <c r="F79" s="7">
        <f>SUM(F2:F78)</f>
        <v/>
      </c>
      <c r="G79" s="7">
        <f>SUM(G2:G78)</f>
        <v/>
      </c>
      <c r="H79" s="7">
        <f>SUM(H2:H78)</f>
        <v/>
      </c>
      <c r="I79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0" customWidth="1" min="2" max="2"/>
    <col width="7" customWidth="1" min="3" max="3"/>
    <col width="10" customWidth="1" min="4" max="4"/>
    <col width="12" customWidth="1" min="5" max="5"/>
    <col width="14" customWidth="1" min="6" max="6"/>
    <col width="14" customWidth="1" min="7" max="7"/>
    <col width="15" customWidth="1" min="8" max="8"/>
    <col width="34" customWidth="1" min="9" max="9"/>
  </cols>
  <sheetData>
    <row r="1">
      <c r="A1" s="3" t="inlineStr">
        <is>
          <t>Раздел</t>
        </is>
      </c>
      <c r="B1" s="3" t="inlineStr">
        <is>
          <t>Наименование</t>
        </is>
      </c>
      <c r="C1" s="3" t="inlineStr">
        <is>
          <t>Ед.</t>
        </is>
      </c>
      <c r="D1" s="3" t="inlineStr">
        <is>
          <t>Кол-во</t>
        </is>
      </c>
      <c r="E1" s="3" t="inlineStr">
        <is>
          <t>Цена, ₽/ед.</t>
        </is>
      </c>
      <c r="F1" s="3" t="inlineStr">
        <is>
          <t>Материалы, ₽</t>
        </is>
      </c>
      <c r="G1" s="3" t="inlineStr">
        <is>
          <t>Работы, ₽</t>
        </is>
      </c>
      <c r="H1" s="3" t="inlineStr">
        <is>
          <t>Сумма, ₽</t>
        </is>
      </c>
      <c r="I1" s="3" t="inlineStr">
        <is>
          <t>Основание</t>
        </is>
      </c>
    </row>
    <row r="2">
      <c r="A2" s="2" t="inlineStr">
        <is>
          <t>01 Подготовка территории</t>
        </is>
      </c>
      <c r="B2" s="2" t="inlineStr">
        <is>
          <t>Бытовки, временные сети, ограждение, охрана на период стройки</t>
        </is>
      </c>
      <c r="C2" s="2" t="inlineStr">
        <is>
          <t>мес</t>
        </is>
      </c>
      <c r="D2" s="9" t="n">
        <v>12</v>
      </c>
      <c r="E2" s="4" t="n">
        <v>70000</v>
      </c>
      <c r="F2" s="4">
        <f>H2*0.3</f>
        <v/>
      </c>
      <c r="G2" s="4">
        <f>H2-F2</f>
        <v/>
      </c>
      <c r="H2" s="4">
        <f>D2*E2</f>
        <v/>
      </c>
      <c r="I2" s="2" t="inlineStr">
        <is>
          <t>общая площадка посёлка — рычаг 7</t>
        </is>
      </c>
    </row>
    <row r="3">
      <c r="A3" s="2" t="inlineStr">
        <is>
          <t>01 Подготовка территории</t>
        </is>
      </c>
      <c r="B3" s="2" t="inlineStr">
        <is>
          <t>Геодезическая разбивка и исполнительные съёмки</t>
        </is>
      </c>
      <c r="C3" s="2" t="inlineStr">
        <is>
          <t>компл</t>
        </is>
      </c>
      <c r="D3" s="9" t="n">
        <v>1</v>
      </c>
      <c r="E3" s="4" t="n">
        <v>220000</v>
      </c>
      <c r="F3" s="4">
        <f>H3*0.0</f>
        <v/>
      </c>
      <c r="G3" s="4">
        <f>H3-F3</f>
        <v/>
      </c>
      <c r="H3" s="4">
        <f>D3*E3</f>
        <v/>
      </c>
      <c r="I3" s="2" t="inlineStr">
        <is>
          <t>рынок МО</t>
        </is>
      </c>
    </row>
    <row r="4">
      <c r="A4" s="2" t="inlineStr">
        <is>
          <t>01 Подготовка территории</t>
        </is>
      </c>
      <c r="B4" s="2" t="inlineStr">
        <is>
          <t>Вывоз мусора, уборка площадки</t>
        </is>
      </c>
      <c r="C4" s="2" t="inlineStr">
        <is>
          <t>мес</t>
        </is>
      </c>
      <c r="D4" s="9" t="n">
        <v>12</v>
      </c>
      <c r="E4" s="4" t="n">
        <v>30000</v>
      </c>
      <c r="F4" s="4">
        <f>H4*0.2</f>
        <v/>
      </c>
      <c r="G4" s="4">
        <f>H4-F4</f>
        <v/>
      </c>
      <c r="H4" s="4">
        <f>D4*E4</f>
        <v/>
      </c>
      <c r="I4" s="2" t="inlineStr">
        <is>
          <t>рынок МО</t>
        </is>
      </c>
    </row>
    <row r="5">
      <c r="A5" s="2" t="inlineStr">
        <is>
          <t>02 Земляные работы</t>
        </is>
      </c>
      <c r="B5" s="2" t="inlineStr">
        <is>
          <t>Срезка растительного слоя и глины 0,3 м с вывозом</t>
        </is>
      </c>
      <c r="C5" s="2" t="inlineStr">
        <is>
          <t>м³</t>
        </is>
      </c>
      <c r="D5" s="9" t="n">
        <v>208</v>
      </c>
      <c r="E5" s="4" t="n">
        <v>1100</v>
      </c>
      <c r="F5" s="4">
        <f>H5*0.0</f>
        <v/>
      </c>
      <c r="G5" s="4">
        <f>H5-F5</f>
        <v/>
      </c>
      <c r="H5" s="4">
        <f>D5*E5</f>
        <v/>
      </c>
      <c r="I5" s="2" t="inlineStr">
        <is>
          <t>вывоз 700 ₽/м³ (протокол 19.10) + разработка</t>
        </is>
      </c>
    </row>
    <row r="6">
      <c r="A6" s="2" t="inlineStr">
        <is>
          <t>02 Земляные работы</t>
        </is>
      </c>
      <c r="B6" s="2" t="inlineStr">
        <is>
          <t>Песчаная подушка 0,5 м с послойным уплотнением</t>
        </is>
      </c>
      <c r="C6" s="2" t="inlineStr">
        <is>
          <t>м³</t>
        </is>
      </c>
      <c r="D6" s="9" t="n">
        <v>308</v>
      </c>
      <c r="E6" s="4" t="n">
        <v>1700</v>
      </c>
      <c r="F6" s="4">
        <f>H6*0.65</f>
        <v/>
      </c>
      <c r="G6" s="4">
        <f>H6-F6</f>
        <v/>
      </c>
      <c r="H6" s="4">
        <f>D6*E6</f>
        <v/>
      </c>
      <c r="I6" s="2" t="inlineStr">
        <is>
          <t>песок 900–1 100 ₽/м³</t>
        </is>
      </c>
    </row>
    <row r="7">
      <c r="A7" s="2" t="inlineStr">
        <is>
          <t>02 Земляные работы</t>
        </is>
      </c>
      <c r="B7" s="2" t="inlineStr">
        <is>
          <t>Обратная засыпка пазух, планировка</t>
        </is>
      </c>
      <c r="C7" s="2" t="inlineStr">
        <is>
          <t>м³</t>
        </is>
      </c>
      <c r="D7" s="9" t="n">
        <v>180</v>
      </c>
      <c r="E7" s="4" t="n">
        <v>800</v>
      </c>
      <c r="F7" s="4">
        <f>H7*0.4</f>
        <v/>
      </c>
      <c r="G7" s="4">
        <f>H7-F7</f>
        <v/>
      </c>
      <c r="H7" s="4">
        <f>D7*E7</f>
        <v/>
      </c>
      <c r="I7" s="2" t="inlineStr">
        <is>
          <t>рынок МО</t>
        </is>
      </c>
    </row>
    <row r="8">
      <c r="A8" s="2" t="inlineStr">
        <is>
          <t>03 Фундамент</t>
        </is>
      </c>
      <c r="B8" s="2" t="inlineStr">
        <is>
          <t>Сваи ЖБ С80.30 (8 м) с забивкой, 77 шт.</t>
        </is>
      </c>
      <c r="C8" s="2" t="inlineStr">
        <is>
          <t>шт</t>
        </is>
      </c>
      <c r="D8" s="9" t="n">
        <v>77</v>
      </c>
      <c r="E8" s="4" t="n">
        <v>31000</v>
      </c>
      <c r="F8" s="4">
        <f>H8*0.65</f>
        <v/>
      </c>
      <c r="G8" s="4">
        <f>H8-F8</f>
        <v/>
      </c>
      <c r="H8" s="4">
        <f>D8*E8</f>
        <v/>
      </c>
      <c r="I8" s="2" t="inlineStr">
        <is>
          <t>свая 19–21 тыс. + забивка 1 200–1 500 ₽/м</t>
        </is>
      </c>
    </row>
    <row r="9">
      <c r="A9" s="2" t="inlineStr">
        <is>
          <t>03 Фундамент</t>
        </is>
      </c>
      <c r="B9" s="2" t="inlineStr">
        <is>
          <t>Испытания свай статической и динамической нагрузкой</t>
        </is>
      </c>
      <c r="C9" s="2" t="inlineStr">
        <is>
          <t>компл</t>
        </is>
      </c>
      <c r="D9" s="9" t="n">
        <v>1</v>
      </c>
      <c r="E9" s="4" t="n">
        <v>300000</v>
      </c>
      <c r="F9" s="4">
        <f>H9*0.0</f>
        <v/>
      </c>
      <c r="G9" s="4">
        <f>H9-F9</f>
        <v/>
      </c>
      <c r="H9" s="4">
        <f>D9*E9</f>
        <v/>
      </c>
      <c r="I9" s="2" t="inlineStr">
        <is>
          <t>СП 24.13330</t>
        </is>
      </c>
    </row>
    <row r="10">
      <c r="A10" s="2" t="inlineStr">
        <is>
          <t>03 Фундамент</t>
        </is>
      </c>
      <c r="B10" s="2" t="inlineStr">
        <is>
          <t>Подбетонка В7,5 80 мм</t>
        </is>
      </c>
      <c r="C10" s="2" t="inlineStr">
        <is>
          <t>м²</t>
        </is>
      </c>
      <c r="D10" s="9" t="n">
        <v>513.5700000000001</v>
      </c>
      <c r="E10" s="4" t="n">
        <v>700</v>
      </c>
      <c r="F10" s="4">
        <f>H10*0.6</f>
        <v/>
      </c>
      <c r="G10" s="4">
        <f>H10-F10</f>
        <v/>
      </c>
      <c r="H10" s="4">
        <f>D10*E10</f>
        <v/>
      </c>
      <c r="I10" s="2" t="inlineStr">
        <is>
          <t>рынок МО</t>
        </is>
      </c>
    </row>
    <row r="11">
      <c r="A11" s="2" t="inlineStr">
        <is>
          <t>03 Фундамент</t>
        </is>
      </c>
      <c r="B11" s="2" t="inlineStr">
        <is>
          <t>Гидроизоляция под плиту и по торцам (2 слоя наплавляемая)</t>
        </is>
      </c>
      <c r="C11" s="2" t="inlineStr">
        <is>
          <t>м²</t>
        </is>
      </c>
      <c r="D11" s="9" t="n">
        <v>591</v>
      </c>
      <c r="E11" s="4" t="n">
        <v>950</v>
      </c>
      <c r="F11" s="4">
        <f>H11*0.55</f>
        <v/>
      </c>
      <c r="G11" s="4">
        <f>H11-F11</f>
        <v/>
      </c>
      <c r="H11" s="4">
        <f>D11*E11</f>
        <v/>
      </c>
      <c r="I11" s="2" t="inlineStr">
        <is>
          <t>у воды — без экономии</t>
        </is>
      </c>
    </row>
    <row r="12">
      <c r="A12" s="2" t="inlineStr">
        <is>
          <t>03 Фундамент</t>
        </is>
      </c>
      <c r="B12" s="2" t="inlineStr">
        <is>
          <t>ЭППС 100 мм под плитой и по периметру</t>
        </is>
      </c>
      <c r="C12" s="2" t="inlineStr">
        <is>
          <t>м²</t>
        </is>
      </c>
      <c r="D12" s="9" t="n">
        <v>565</v>
      </c>
      <c r="E12" s="4" t="n">
        <v>1200</v>
      </c>
      <c r="F12" s="4">
        <f>H12*0.75</f>
        <v/>
      </c>
      <c r="G12" s="4">
        <f>H12-F12</f>
        <v/>
      </c>
      <c r="H12" s="4">
        <f>D12*E12</f>
        <v/>
      </c>
      <c r="I12" s="2" t="inlineStr">
        <is>
          <t>рынок МО</t>
        </is>
      </c>
    </row>
    <row r="13">
      <c r="A13" s="2" t="inlineStr">
        <is>
          <t>03 Фундамент</t>
        </is>
      </c>
      <c r="B13" s="2" t="inlineStr">
        <is>
          <t>Монолитная плита 300 мм на сваях, В25 W8 F150, А500 ≈ 115 кг/м³ (пол 1 этажа)</t>
        </is>
      </c>
      <c r="C13" s="2" t="inlineStr">
        <is>
          <t>м³</t>
        </is>
      </c>
      <c r="D13" s="9" t="n">
        <v>154.1</v>
      </c>
      <c r="E13" s="4" t="n">
        <v>25000</v>
      </c>
      <c r="F13" s="4">
        <f>H13*0.62</f>
        <v/>
      </c>
      <c r="G13" s="4">
        <f>H13-F13</f>
        <v/>
      </c>
      <c r="H13" s="4">
        <f>D13*E13</f>
        <v/>
      </c>
      <c r="I13" s="2" t="inlineStr">
        <is>
          <t>бетон 8–8,5 тыс./м³, арматура 85 тыс./т, работы 7–9 тыс./м³</t>
        </is>
      </c>
    </row>
    <row r="14">
      <c r="A14" s="2" t="inlineStr">
        <is>
          <t>03 Фундамент</t>
        </is>
      </c>
      <c r="B14" s="2" t="inlineStr">
        <is>
          <t>Цокольное перекрытие (в ЭП-смете отдельно 4,0 млн; при плите на сваях не нужно)</t>
        </is>
      </c>
      <c r="C14" s="2" t="inlineStr">
        <is>
          <t>м²</t>
        </is>
      </c>
      <c r="D14" s="9" t="n">
        <v>513.5700000000001</v>
      </c>
      <c r="E14" s="4" t="n">
        <v>0</v>
      </c>
      <c r="F14" s="4">
        <f>H14*0.6</f>
        <v/>
      </c>
      <c r="G14" s="4">
        <f>H14-F14</f>
        <v/>
      </c>
      <c r="H14" s="4">
        <f>D14*E14</f>
        <v/>
      </c>
      <c r="I14" s="2" t="inlineStr">
        <is>
          <t>дублирование в смете ЭП — исключено в B/C</t>
        </is>
      </c>
    </row>
    <row r="15">
      <c r="A15" s="2" t="inlineStr">
        <is>
          <t>03 Фундамент</t>
        </is>
      </c>
      <c r="B15" s="2" t="inlineStr">
        <is>
          <t>Закладные, гильзы, выпуски (по ведомости закладных)</t>
        </is>
      </c>
      <c r="C15" s="2" t="inlineStr">
        <is>
          <t>компл</t>
        </is>
      </c>
      <c r="D15" s="9" t="n">
        <v>1</v>
      </c>
      <c r="E15" s="4" t="n">
        <v>300000</v>
      </c>
      <c r="F15" s="4">
        <f>H15*0.5</f>
        <v/>
      </c>
      <c r="G15" s="4">
        <f>H15-F15</f>
        <v/>
      </c>
      <c r="H15" s="4">
        <f>D15*E15</f>
        <v/>
      </c>
      <c r="I15" s="2" t="inlineStr">
        <is>
          <t>аналог БР-ЗК</t>
        </is>
      </c>
    </row>
    <row r="16">
      <c r="A16" s="2" t="inlineStr">
        <is>
          <t>04 Каркас и перекрытия</t>
        </is>
      </c>
      <c r="B16" s="2" t="inlineStr">
        <is>
          <t>Колонны 1 этажа: стальные с огнезащитой R150 (A) / монолит ЖБ 400×400 (B, C)</t>
        </is>
      </c>
      <c r="C16" s="2" t="inlineStr">
        <is>
          <t>шт</t>
        </is>
      </c>
      <c r="D16" s="9" t="n">
        <v>14</v>
      </c>
      <c r="E16" s="4" t="n">
        <v>65000</v>
      </c>
      <c r="F16" s="4">
        <f>H16*0.55</f>
        <v/>
      </c>
      <c r="G16" s="4">
        <f>H16-F16</f>
        <v/>
      </c>
      <c r="H16" s="4">
        <f>D16*E16</f>
        <v/>
      </c>
      <c r="I16" s="2" t="inlineStr">
        <is>
          <t>R150 для стали — 1,5–3 тыс./м² поверхности; ЖБ обеспечивает сам</t>
        </is>
      </c>
    </row>
    <row r="17">
      <c r="A17" s="2" t="inlineStr">
        <is>
          <t>04 Каркас и перекрытия</t>
        </is>
      </c>
      <c r="B17" s="2" t="inlineStr">
        <is>
          <t>Межэтажное и под плоскую кровлю: монолит ЖБ плита 200 + рёбра 600 (A, B) / ПБ + монолитные участки (C)</t>
        </is>
      </c>
      <c r="C17" s="2" t="inlineStr">
        <is>
          <t>м²</t>
        </is>
      </c>
      <c r="D17" s="9" t="n">
        <v>798.74</v>
      </c>
      <c r="E17" s="4" t="n">
        <v>6800</v>
      </c>
      <c r="F17" s="4">
        <f>H17*0.55</f>
        <v/>
      </c>
      <c r="G17" s="4">
        <f>H17-F17</f>
        <v/>
      </c>
      <c r="H17" s="4">
        <f>D17*E17</f>
        <v/>
      </c>
      <c r="I17" s="2" t="inlineStr">
        <is>
          <t>монолит 10,5–12,5 тыс.; ПБ 5,5–7 тыс.</t>
        </is>
      </c>
    </row>
    <row r="18">
      <c r="A18" s="2" t="inlineStr">
        <is>
          <t>04 Каркас и перекрытия</t>
        </is>
      </c>
      <c r="B18" s="2" t="inlineStr">
        <is>
          <t>Зимнее бетонирование (прогрев, тепляк) — если перекрытие попадает на ноябрь–март</t>
        </is>
      </c>
      <c r="C18" s="2" t="inlineStr">
        <is>
          <t>м²</t>
        </is>
      </c>
      <c r="D18" s="9" t="n">
        <v>798.74</v>
      </c>
      <c r="E18" s="4" t="n">
        <v>0</v>
      </c>
      <c r="F18" s="4">
        <f>H18*0.3</f>
        <v/>
      </c>
      <c r="G18" s="4">
        <f>H18-F18</f>
        <v/>
      </c>
      <c r="H18" s="4">
        <f>D18*E18</f>
        <v/>
      </c>
      <c r="I18" s="2" t="inlineStr">
        <is>
          <t>B, C — бетонирование в тёплый сезон по ПОС</t>
        </is>
      </c>
    </row>
    <row r="19">
      <c r="A19" s="2" t="inlineStr">
        <is>
          <t>04 Каркас и перекрытия</t>
        </is>
      </c>
      <c r="B19" s="2" t="inlineStr">
        <is>
          <t>Армопояса, перемычки, монолитные участки</t>
        </is>
      </c>
      <c r="C19" s="2" t="inlineStr">
        <is>
          <t>м³</t>
        </is>
      </c>
      <c r="D19" s="9" t="n">
        <v>40</v>
      </c>
      <c r="E19" s="4" t="n">
        <v>30000</v>
      </c>
      <c r="F19" s="4">
        <f>H19*0.55</f>
        <v/>
      </c>
      <c r="G19" s="4">
        <f>H19-F19</f>
        <v/>
      </c>
      <c r="H19" s="4">
        <f>D19*E19</f>
        <v/>
      </c>
      <c r="I19" s="2" t="inlineStr">
        <is>
          <t>рынок МО</t>
        </is>
      </c>
    </row>
    <row r="20">
      <c r="A20" s="2" t="inlineStr">
        <is>
          <t>04 Каркас и перекрытия</t>
        </is>
      </c>
      <c r="B20" s="2" t="inlineStr">
        <is>
          <t>Монолитная лестница 012 с ограждением</t>
        </is>
      </c>
      <c r="C20" s="2" t="inlineStr">
        <is>
          <t>компл</t>
        </is>
      </c>
      <c r="D20" s="9" t="n">
        <v>1</v>
      </c>
      <c r="E20" s="4" t="n">
        <v>600000</v>
      </c>
      <c r="F20" s="4">
        <f>H20*0.5</f>
        <v/>
      </c>
      <c r="G20" s="4">
        <f>H20-F20</f>
        <v/>
      </c>
      <c r="H20" s="4">
        <f>D20*E20</f>
        <v/>
      </c>
      <c r="I20" s="2" t="inlineStr">
        <is>
          <t>1 лестница 2 марша</t>
        </is>
      </c>
    </row>
    <row r="21">
      <c r="A21" s="2" t="inlineStr">
        <is>
          <t>05 Стены и перегородки</t>
        </is>
      </c>
      <c r="B21" s="2" t="inlineStr">
        <is>
          <t>Наружные стены газобетон D500 400 мм (блок, клей, армирование, кладка)</t>
        </is>
      </c>
      <c r="C21" s="2" t="inlineStr">
        <is>
          <t>м³</t>
        </is>
      </c>
      <c r="D21" s="9" t="n">
        <v>309.14</v>
      </c>
      <c r="E21" s="4" t="n">
        <v>13000</v>
      </c>
      <c r="F21" s="4">
        <f>H21*0.6</f>
        <v/>
      </c>
      <c r="G21" s="4">
        <f>H21-F21</f>
        <v/>
      </c>
      <c r="H21" s="4">
        <f>D21*E21</f>
        <v/>
      </c>
      <c r="I21" s="2" t="inlineStr">
        <is>
          <t>рынок 11,5–15,5 тыс.</t>
        </is>
      </c>
    </row>
    <row r="22">
      <c r="A22" s="2" t="inlineStr">
        <is>
          <t>05 Стены и перегородки</t>
        </is>
      </c>
      <c r="B22" s="2" t="inlineStr">
        <is>
          <t>Внутренние стены газобетон 300 мм</t>
        </is>
      </c>
      <c r="C22" s="2" t="inlineStr">
        <is>
          <t>м³</t>
        </is>
      </c>
      <c r="D22" s="9" t="n">
        <v>153.54</v>
      </c>
      <c r="E22" s="4" t="n">
        <v>13000</v>
      </c>
      <c r="F22" s="4">
        <f>H22*0.6</f>
        <v/>
      </c>
      <c r="G22" s="4">
        <f>H22-F22</f>
        <v/>
      </c>
      <c r="H22" s="4">
        <f>D22*E22</f>
        <v/>
      </c>
      <c r="I22" s="2" t="inlineStr">
        <is>
          <t>рынок 11,5–15,5 тыс.</t>
        </is>
      </c>
    </row>
    <row r="23">
      <c r="A23" s="2" t="inlineStr">
        <is>
          <t>05 Стены и перегородки</t>
        </is>
      </c>
      <c r="B23" s="2" t="inlineStr">
        <is>
          <t>Перегородки газобетон 150 мм</t>
        </is>
      </c>
      <c r="C23" s="2" t="inlineStr">
        <is>
          <t>м³</t>
        </is>
      </c>
      <c r="D23" s="9" t="n">
        <v>57.47</v>
      </c>
      <c r="E23" s="4" t="n">
        <v>14000</v>
      </c>
      <c r="F23" s="4">
        <f>H23*0.6</f>
        <v/>
      </c>
      <c r="G23" s="4">
        <f>H23-F23</f>
        <v/>
      </c>
      <c r="H23" s="4">
        <f>D23*E23</f>
        <v/>
      </c>
      <c r="I23" s="2" t="inlineStr">
        <is>
          <t>мелкий блок дороже на м³</t>
        </is>
      </c>
    </row>
    <row r="24">
      <c r="A24" s="2" t="inlineStr">
        <is>
          <t>05 Стены и перегородки</t>
        </is>
      </c>
      <c r="B24" s="2" t="inlineStr">
        <is>
          <t>Противопожарные стены гараж/лестница, тамбур-шлюз (EI 150, двери EI 60)</t>
        </is>
      </c>
      <c r="C24" s="2" t="inlineStr">
        <is>
          <t>компл</t>
        </is>
      </c>
      <c r="D24" s="9" t="n">
        <v>1</v>
      </c>
      <c r="E24" s="4" t="n">
        <v>450000</v>
      </c>
      <c r="F24" s="4">
        <f>H24*0.6</f>
        <v/>
      </c>
      <c r="G24" s="4">
        <f>H24-F24</f>
        <v/>
      </c>
      <c r="H24" s="4">
        <f>D24*E24</f>
        <v/>
      </c>
      <c r="I24" s="2" t="inlineStr">
        <is>
          <t>СП 4.13130 — требование раздела ПБ</t>
        </is>
      </c>
    </row>
    <row r="25">
      <c r="A25" s="2" t="inlineStr">
        <is>
          <t>06 Кровля</t>
        </is>
      </c>
      <c r="B25" s="2" t="inlineStr">
        <is>
          <t>Чердачное перекрытие деревянное утеплённое 250 мм</t>
        </is>
      </c>
      <c r="C25" s="2" t="inlineStr">
        <is>
          <t>м²</t>
        </is>
      </c>
      <c r="D25" s="9" t="n">
        <v>473.73</v>
      </c>
      <c r="E25" s="4" t="n">
        <v>7000</v>
      </c>
      <c r="F25" s="4">
        <f>H25*0.6</f>
        <v/>
      </c>
      <c r="G25" s="4">
        <f>H25-F25</f>
        <v/>
      </c>
      <c r="H25" s="4">
        <f>D25*E25</f>
        <v/>
      </c>
      <c r="I25" s="2" t="inlineStr">
        <is>
          <t>рынок 6–8,5 тыс.</t>
        </is>
      </c>
    </row>
    <row r="26">
      <c r="A26" s="2" t="inlineStr">
        <is>
          <t>06 Кровля</t>
        </is>
      </c>
      <c r="B26" s="2" t="inlineStr">
        <is>
          <t>Скатная кровля: стропила, ОСП, мембраны, кликфальц, водосток, снегозадержание</t>
        </is>
      </c>
      <c r="C26" s="2" t="inlineStr">
        <is>
          <t>м²</t>
        </is>
      </c>
      <c r="D26" s="9" t="n">
        <v>570.9299999999999</v>
      </c>
      <c r="E26" s="4" t="n">
        <v>10000</v>
      </c>
      <c r="F26" s="4">
        <f>H26*0.6</f>
        <v/>
      </c>
      <c r="G26" s="4">
        <f>H26-F26</f>
        <v/>
      </c>
      <c r="H26" s="4">
        <f>D26*E26</f>
        <v/>
      </c>
      <c r="I26" s="2" t="inlineStr">
        <is>
          <t>рынок 9–13 тыс.; СХ 19,6 тыс.</t>
        </is>
      </c>
    </row>
    <row r="27">
      <c r="A27" s="2" t="inlineStr">
        <is>
          <t>06 Кровля</t>
        </is>
      </c>
      <c r="B27" s="2" t="inlineStr">
        <is>
          <t>Плоская кровля: эксплуатируемая (A, B) / неэксплуатируемая (C)</t>
        </is>
      </c>
      <c r="C27" s="2" t="inlineStr">
        <is>
          <t>м²</t>
        </is>
      </c>
      <c r="D27" s="9" t="n">
        <v>233.34</v>
      </c>
      <c r="E27" s="4" t="n">
        <v>8000</v>
      </c>
      <c r="F27" s="4">
        <f>H27*0.6</f>
        <v/>
      </c>
      <c r="G27" s="4">
        <f>H27-F27</f>
        <v/>
      </c>
      <c r="H27" s="4">
        <f>D27*E27</f>
        <v/>
      </c>
      <c r="I27" s="2" t="inlineStr">
        <is>
          <t>рынок 9–16 тыс.</t>
        </is>
      </c>
    </row>
    <row r="28">
      <c r="A28" s="2" t="inlineStr">
        <is>
          <t>06 Кровля</t>
        </is>
      </c>
      <c r="B28" s="2" t="inlineStr">
        <is>
          <t>Каркасные фронтоны</t>
        </is>
      </c>
      <c r="C28" s="2" t="inlineStr">
        <is>
          <t>м²</t>
        </is>
      </c>
      <c r="D28" s="9" t="n">
        <v>186.21</v>
      </c>
      <c r="E28" s="4" t="n">
        <v>5500</v>
      </c>
      <c r="F28" s="4">
        <f>H28*0.6</f>
        <v/>
      </c>
      <c r="G28" s="4">
        <f>H28-F28</f>
        <v/>
      </c>
      <c r="H28" s="4">
        <f>D28*E28</f>
        <v/>
      </c>
      <c r="I28" s="2" t="inlineStr">
        <is>
          <t>рынок МО</t>
        </is>
      </c>
    </row>
    <row r="29">
      <c r="A29" s="2" t="inlineStr">
        <is>
          <t>07 Фасады</t>
        </is>
      </c>
      <c r="B29" s="2" t="inlineStr">
        <is>
          <t>Утепление вентфасада минвата 100 мм + ветрозащита + подсистема</t>
        </is>
      </c>
      <c r="C29" s="2" t="inlineStr">
        <is>
          <t>м²</t>
        </is>
      </c>
      <c r="D29" s="9" t="n">
        <v>1310</v>
      </c>
      <c r="E29" s="4" t="n">
        <v>2400</v>
      </c>
      <c r="F29" s="4">
        <f>H29*0.55</f>
        <v/>
      </c>
      <c r="G29" s="4">
        <f>H29-F29</f>
        <v/>
      </c>
      <c r="H29" s="4">
        <f>D29*E29</f>
        <v/>
      </c>
      <c r="I29" s="2" t="inlineStr">
        <is>
          <t>подсистема 1,2–1,5 + утеплитель 1,0</t>
        </is>
      </c>
    </row>
    <row r="30">
      <c r="A30" s="2" t="inlineStr">
        <is>
          <t>07 Фасады</t>
        </is>
      </c>
      <c r="B30" s="2" t="inlineStr">
        <is>
          <t>Облицовка натуральным сланцем (A 490 м²; B, C — акцент 150 м²)</t>
        </is>
      </c>
      <c r="C30" s="2" t="inlineStr">
        <is>
          <t>м²</t>
        </is>
      </c>
      <c r="D30" s="9" t="n">
        <v>490</v>
      </c>
      <c r="E30" s="4" t="n">
        <v>0</v>
      </c>
      <c r="F30" s="4">
        <f>H30*0.6</f>
        <v/>
      </c>
      <c r="G30" s="4">
        <f>H30-F30</f>
        <v/>
      </c>
      <c r="H30" s="4">
        <f>D30*E30</f>
        <v/>
      </c>
      <c r="I30" s="2" t="inlineStr">
        <is>
          <t>рынок 8–13 тыс.</t>
        </is>
      </c>
    </row>
    <row r="31">
      <c r="A31" s="2" t="inlineStr">
        <is>
          <t>07 Фасады</t>
        </is>
      </c>
      <c r="B31" s="2" t="inlineStr">
        <is>
          <t>Облицовка сланцем — акцентные плоскости (вход, торец к воде)</t>
        </is>
      </c>
      <c r="C31" s="2" t="inlineStr">
        <is>
          <t>м²</t>
        </is>
      </c>
      <c r="D31" s="9" t="n">
        <v>150</v>
      </c>
      <c r="E31" s="4" t="n">
        <v>10500</v>
      </c>
      <c r="F31" s="4">
        <f>H31*0.6</f>
        <v/>
      </c>
      <c r="G31" s="4">
        <f>H31-F31</f>
        <v/>
      </c>
      <c r="H31" s="4">
        <f>D31*E31</f>
        <v/>
      </c>
      <c r="I31" s="2" t="inlineStr">
        <is>
          <t>рычаг 3</t>
        </is>
      </c>
    </row>
    <row r="32">
      <c r="A32" s="2" t="inlineStr">
        <is>
          <t>07 Фасады</t>
        </is>
      </c>
      <c r="B32" s="2" t="inlineStr">
        <is>
          <t>Планкен лиственница с обработкой (A 600 м²; B, C — 940 м²)</t>
        </is>
      </c>
      <c r="C32" s="2" t="inlineStr">
        <is>
          <t>м²</t>
        </is>
      </c>
      <c r="D32" s="9" t="n">
        <v>600</v>
      </c>
      <c r="E32" s="4" t="n">
        <v>0</v>
      </c>
      <c r="F32" s="4">
        <f>H32*0.6</f>
        <v/>
      </c>
      <c r="G32" s="4">
        <f>H32-F32</f>
        <v/>
      </c>
      <c r="H32" s="4">
        <f>D32*E32</f>
        <v/>
      </c>
      <c r="I32" s="2" t="inlineStr">
        <is>
          <t>рынок 6,4–9,9 тыс.</t>
        </is>
      </c>
    </row>
    <row r="33">
      <c r="A33" s="2" t="inlineStr">
        <is>
          <t>07 Фасады</t>
        </is>
      </c>
      <c r="B33" s="2" t="inlineStr">
        <is>
          <t>Планкен лиственница с обработкой — основной материал</t>
        </is>
      </c>
      <c r="C33" s="2" t="inlineStr">
        <is>
          <t>м²</t>
        </is>
      </c>
      <c r="D33" s="9" t="n">
        <v>940</v>
      </c>
      <c r="E33" s="4" t="n">
        <v>6000</v>
      </c>
      <c r="F33" s="4">
        <f>H33*0.6</f>
        <v/>
      </c>
      <c r="G33" s="4">
        <f>H33-F33</f>
        <v/>
      </c>
      <c r="H33" s="4">
        <f>D33*E33</f>
        <v/>
      </c>
      <c r="I33" s="2" t="inlineStr">
        <is>
          <t>рычаг 3</t>
        </is>
      </c>
    </row>
    <row r="34">
      <c r="A34" s="2" t="inlineStr">
        <is>
          <t>07 Фасады</t>
        </is>
      </c>
      <c r="B34" s="2" t="inlineStr">
        <is>
          <t>Фасадный фальц</t>
        </is>
      </c>
      <c r="C34" s="2" t="inlineStr">
        <is>
          <t>м²</t>
        </is>
      </c>
      <c r="D34" s="9" t="n">
        <v>220</v>
      </c>
      <c r="E34" s="4" t="n">
        <v>5500</v>
      </c>
      <c r="F34" s="4">
        <f>H34*0.6</f>
        <v/>
      </c>
      <c r="G34" s="4">
        <f>H34-F34</f>
        <v/>
      </c>
      <c r="H34" s="4">
        <f>D34*E34</f>
        <v/>
      </c>
      <c r="I34" s="2" t="inlineStr">
        <is>
          <t>рынок 4,5–7,5 тыс.</t>
        </is>
      </c>
    </row>
    <row r="35">
      <c r="A35" s="2" t="inlineStr">
        <is>
          <t>07 Фасады</t>
        </is>
      </c>
      <c r="B35" s="2" t="inlineStr">
        <is>
          <t>Цоколь: облицовка, отмостка 1,0 м с утеплением</t>
        </is>
      </c>
      <c r="C35" s="2" t="inlineStr">
        <is>
          <t>м.п.</t>
        </is>
      </c>
      <c r="D35" s="9" t="n">
        <v>104</v>
      </c>
      <c r="E35" s="4" t="n">
        <v>8000</v>
      </c>
      <c r="F35" s="4">
        <f>H35*0.55</f>
        <v/>
      </c>
      <c r="G35" s="4">
        <f>H35-F35</f>
        <v/>
      </c>
      <c r="H35" s="4">
        <f>D35*E35</f>
        <v/>
      </c>
      <c r="I35" s="2" t="inlineStr">
        <is>
          <t>периметр ≈ 104 м</t>
        </is>
      </c>
    </row>
    <row r="36">
      <c r="A36" s="2" t="inlineStr">
        <is>
          <t>08 Окна, витражи, ворота</t>
        </is>
      </c>
      <c r="B36" s="2" t="inlineStr">
        <is>
          <t>Тёплые алюминиевые витражи: Schüco-уровень (A) / Alutech W72 (B, C)</t>
        </is>
      </c>
      <c r="C36" s="2" t="inlineStr">
        <is>
          <t>м²</t>
        </is>
      </c>
      <c r="D36" s="9" t="n">
        <v>170.64</v>
      </c>
      <c r="E36" s="4" t="n">
        <v>22000</v>
      </c>
      <c r="F36" s="4">
        <f>H36*0.75</f>
        <v/>
      </c>
      <c r="G36" s="4">
        <f>H36-F36</f>
        <v/>
      </c>
      <c r="H36" s="4">
        <f>D36*E36</f>
        <v/>
      </c>
      <c r="I36" s="2" t="inlineStr">
        <is>
          <t>Alutech под ключ 19–27 тыс.</t>
        </is>
      </c>
    </row>
    <row r="37">
      <c r="A37" s="2" t="inlineStr">
        <is>
          <t>08 Окна, витражи, ворота</t>
        </is>
      </c>
      <c r="B37" s="2" t="inlineStr">
        <is>
          <t>Окна ПВХ (Rehau/Veka класс А, R 0,8)</t>
        </is>
      </c>
      <c r="C37" s="2" t="inlineStr">
        <is>
          <t>м²</t>
        </is>
      </c>
      <c r="D37" s="9" t="n">
        <v>60</v>
      </c>
      <c r="E37" s="4" t="n">
        <v>14000</v>
      </c>
      <c r="F37" s="4">
        <f>H37*0.75</f>
        <v/>
      </c>
      <c r="G37" s="4">
        <f>H37-F37</f>
        <v/>
      </c>
      <c r="H37" s="4">
        <f>D37*E37</f>
        <v/>
      </c>
      <c r="I37" s="2" t="inlineStr">
        <is>
          <t>рынок 12–18 тыс.</t>
        </is>
      </c>
    </row>
    <row r="38">
      <c r="A38" s="2" t="inlineStr">
        <is>
          <t>08 Окна, витражи, ворота</t>
        </is>
      </c>
      <c r="B38" s="2" t="inlineStr">
        <is>
          <t>Откосы, отливы, подоконники</t>
        </is>
      </c>
      <c r="C38" s="2" t="inlineStr">
        <is>
          <t>м²</t>
        </is>
      </c>
      <c r="D38" s="9" t="n">
        <v>230.64</v>
      </c>
      <c r="E38" s="4" t="n">
        <v>2000</v>
      </c>
      <c r="F38" s="4">
        <f>H38*0.5</f>
        <v/>
      </c>
      <c r="G38" s="4">
        <f>H38-F38</f>
        <v/>
      </c>
      <c r="H38" s="4">
        <f>D38*E38</f>
        <v/>
      </c>
      <c r="I38" s="2" t="inlineStr">
        <is>
          <t>рынок МО</t>
        </is>
      </c>
    </row>
    <row r="39">
      <c r="A39" s="2" t="inlineStr">
        <is>
          <t>08 Окна, витражи, ворота</t>
        </is>
      </c>
      <c r="B39" s="2" t="inlineStr">
        <is>
          <t>Ворота гаражные секционные утеплённые с автоматикой 3.5×2.6 м</t>
        </is>
      </c>
      <c r="C39" s="2" t="inlineStr">
        <is>
          <t>шт</t>
        </is>
      </c>
      <c r="D39" s="9" t="n">
        <v>8</v>
      </c>
      <c r="E39" s="4" t="n">
        <v>200000</v>
      </c>
      <c r="F39" s="4">
        <f>H39*0.85</f>
        <v/>
      </c>
      <c r="G39" s="4">
        <f>H39-F39</f>
        <v/>
      </c>
      <c r="H39" s="4">
        <f>D39*E39</f>
        <v/>
      </c>
      <c r="I39" s="2" t="inlineStr">
        <is>
          <t>Doorhan/Alutech с приводом</t>
        </is>
      </c>
    </row>
    <row r="40">
      <c r="A40" s="2" t="inlineStr">
        <is>
          <t>08 Окна, витражи, ворота</t>
        </is>
      </c>
      <c r="B40" s="2" t="inlineStr">
        <is>
          <t>Ворота эллинга подъёмно-секционные (под катер на прицепе) 4.5×3.6 м</t>
        </is>
      </c>
      <c r="C40" s="2" t="inlineStr">
        <is>
          <t>шт</t>
        </is>
      </c>
      <c r="D40" s="9" t="n">
        <v>1</v>
      </c>
      <c r="E40" s="4" t="n">
        <v>520000</v>
      </c>
      <c r="F40" s="4">
        <f>H40*0.85</f>
        <v/>
      </c>
      <c r="G40" s="4">
        <f>H40-F40</f>
        <v/>
      </c>
      <c r="H40" s="4">
        <f>D40*E40</f>
        <v/>
      </c>
      <c r="I40" s="2" t="inlineStr">
        <is>
          <t>нестандарт, усиленный привод</t>
        </is>
      </c>
    </row>
    <row r="41">
      <c r="A41" s="2" t="inlineStr">
        <is>
          <t>08 Окна, витражи, ворота</t>
        </is>
      </c>
      <c r="B41" s="2" t="inlineStr">
        <is>
          <t>Двери наружные металлические утеплённые</t>
        </is>
      </c>
      <c r="C41" s="2" t="inlineStr">
        <is>
          <t>шт</t>
        </is>
      </c>
      <c r="D41" s="9" t="n">
        <v>6</v>
      </c>
      <c r="E41" s="4" t="n">
        <v>60000</v>
      </c>
      <c r="F41" s="4">
        <f>H41*0.8</f>
        <v/>
      </c>
      <c r="G41" s="4">
        <f>H41-F41</f>
        <v/>
      </c>
      <c r="H41" s="4">
        <f>D41*E41</f>
        <v/>
      </c>
      <c r="I41" s="2" t="inlineStr">
        <is>
          <t>рынок МО</t>
        </is>
      </c>
    </row>
    <row r="42">
      <c r="A42" s="2" t="inlineStr">
        <is>
          <t>08 Окна, витражи, ворота</t>
        </is>
      </c>
      <c r="B42" s="2" t="inlineStr">
        <is>
          <t>Входная группа КПП (алюминий, домофон, доводчик)</t>
        </is>
      </c>
      <c r="C42" s="2" t="inlineStr">
        <is>
          <t>компл</t>
        </is>
      </c>
      <c r="D42" s="9" t="n">
        <v>1</v>
      </c>
      <c r="E42" s="4" t="n">
        <v>280000</v>
      </c>
      <c r="F42" s="4">
        <f>H42*0.8</f>
        <v/>
      </c>
      <c r="G42" s="4">
        <f>H42-F42</f>
        <v/>
      </c>
      <c r="H42" s="4">
        <f>D42*E42</f>
        <v/>
      </c>
      <c r="I42" s="2" t="inlineStr">
        <is>
          <t>рынок МО</t>
        </is>
      </c>
    </row>
    <row r="43">
      <c r="A43" s="2" t="inlineStr">
        <is>
          <t>09 Наружные МК</t>
        </is>
      </c>
      <c r="B43" s="2" t="inlineStr">
        <is>
          <t>Наружная эвакуационная лестница 3-го типа со 2 этажа</t>
        </is>
      </c>
      <c r="C43" s="2" t="inlineStr">
        <is>
          <t>компл</t>
        </is>
      </c>
      <c r="D43" s="9" t="n">
        <v>1</v>
      </c>
      <c r="E43" s="4" t="n">
        <v>850000</v>
      </c>
      <c r="F43" s="4">
        <f>H43*0.7</f>
        <v/>
      </c>
      <c r="G43" s="4">
        <f>H43-F43</f>
        <v/>
      </c>
      <c r="H43" s="4">
        <f>D43*E43</f>
        <v/>
      </c>
      <c r="I43" s="2" t="inlineStr">
        <is>
          <t>второй эвакуационный выход Ф1.2</t>
        </is>
      </c>
    </row>
    <row r="44">
      <c r="A44" s="2" t="inlineStr">
        <is>
          <t>09 Наружные МК</t>
        </is>
      </c>
      <c r="B44" s="2" t="inlineStr">
        <is>
          <t>Навесы, ограждения эксплуатируемой кровли, козырьки</t>
        </is>
      </c>
      <c r="C44" s="2" t="inlineStr">
        <is>
          <t>компл</t>
        </is>
      </c>
      <c r="D44" s="9" t="n">
        <v>1</v>
      </c>
      <c r="E44" s="4" t="n">
        <v>900000</v>
      </c>
      <c r="F44" s="4">
        <f>H44*0.7</f>
        <v/>
      </c>
      <c r="G44" s="4">
        <f>H44-F44</f>
        <v/>
      </c>
      <c r="H44" s="4">
        <f>D44*E44</f>
        <v/>
      </c>
      <c r="I44" s="2" t="inlineStr">
        <is>
          <t>без спецификации — по ведомости архитектора</t>
        </is>
      </c>
    </row>
    <row r="45">
      <c r="A45" s="2" t="inlineStr">
        <is>
          <t>10 Отделка черновая</t>
        </is>
      </c>
      <c r="B45" s="2" t="inlineStr">
        <is>
          <t>Техзона: упрочнённый пол (топпинг), обеспыливание стен и потолков, покраска</t>
        </is>
      </c>
      <c r="C45" s="2" t="inlineStr">
        <is>
          <t>м²</t>
        </is>
      </c>
      <c r="D45" s="9" t="n">
        <v>379.01</v>
      </c>
      <c r="E45" s="4" t="n">
        <v>3500</v>
      </c>
      <c r="F45" s="4">
        <f>H45*0.45</f>
        <v/>
      </c>
      <c r="G45" s="4">
        <f>H45-F45</f>
        <v/>
      </c>
      <c r="H45" s="4">
        <f>D45*E45</f>
        <v/>
      </c>
      <c r="I45" s="2" t="inlineStr">
        <is>
          <t>A — единая ставка ЭП-сметы</t>
        </is>
      </c>
    </row>
    <row r="46">
      <c r="A46" s="2" t="inlineStr">
        <is>
          <t>10 Отделка черновая</t>
        </is>
      </c>
      <c r="B46" s="2" t="inlineStr">
        <is>
          <t>Служебные, проживание, МОП: стяжка, штукатурка, ГКЛ, подготовка</t>
        </is>
      </c>
      <c r="C46" s="2" t="inlineStr">
        <is>
          <t>м²</t>
        </is>
      </c>
      <c r="D46" s="9" t="n">
        <v>473.38</v>
      </c>
      <c r="E46" s="4" t="n">
        <v>9000</v>
      </c>
      <c r="F46" s="4">
        <f>H46*0.45</f>
        <v/>
      </c>
      <c r="G46" s="4">
        <f>H46-F46</f>
        <v/>
      </c>
      <c r="H46" s="4">
        <f>D46*E46</f>
        <v/>
      </c>
      <c r="I46" s="2" t="inlineStr">
        <is>
          <t>рынок 8–14 тыс.</t>
        </is>
      </c>
    </row>
    <row r="47">
      <c r="A47" s="2" t="inlineStr">
        <is>
          <t>10 Отделка черновая</t>
        </is>
      </c>
      <c r="B47" s="2" t="inlineStr">
        <is>
          <t>Спортзал: стяжка с виброразвязкой, акустическая подготовка</t>
        </is>
      </c>
      <c r="C47" s="2" t="inlineStr">
        <is>
          <t>м²</t>
        </is>
      </c>
      <c r="D47" s="9" t="n">
        <v>109.15</v>
      </c>
      <c r="E47" s="4" t="n">
        <v>13000</v>
      </c>
      <c r="F47" s="4">
        <f>H47*0.5</f>
        <v/>
      </c>
      <c r="G47" s="4">
        <f>H47-F47</f>
        <v/>
      </c>
      <c r="H47" s="4">
        <f>D47*E47</f>
        <v/>
      </c>
      <c r="I47" s="2" t="inlineStr">
        <is>
          <t>свободные веса</t>
        </is>
      </c>
    </row>
    <row r="48">
      <c r="A48" s="2" t="inlineStr">
        <is>
          <t>11 Отделка чистовая</t>
        </is>
      </c>
      <c r="B48" s="2" t="inlineStr">
        <is>
          <t>Техзона: разметка, отбойники, полимерные полы в эллинге и котельной</t>
        </is>
      </c>
      <c r="C48" s="2" t="inlineStr">
        <is>
          <t>м²</t>
        </is>
      </c>
      <c r="D48" s="9" t="n">
        <v>379.01</v>
      </c>
      <c r="E48" s="4" t="n">
        <v>2000</v>
      </c>
      <c r="F48" s="4">
        <f>H48*0.6</f>
        <v/>
      </c>
      <c r="G48" s="4">
        <f>H48-F48</f>
        <v/>
      </c>
      <c r="H48" s="4">
        <f>D48*E48</f>
        <v/>
      </c>
      <c r="I48" s="2" t="inlineStr">
        <is>
          <t>A — единая ставка ЭП</t>
        </is>
      </c>
    </row>
    <row r="49">
      <c r="A49" s="2" t="inlineStr">
        <is>
          <t>11 Отделка чистовая</t>
        </is>
      </c>
      <c r="B49" s="2" t="inlineStr">
        <is>
          <t>Служебные и проживание: кварцвинил, керамогранит в с/у, покраска, Армстронг/натяжные, межкомнатные двери</t>
        </is>
      </c>
      <c r="C49" s="2" t="inlineStr">
        <is>
          <t>м²</t>
        </is>
      </c>
      <c r="D49" s="9" t="n">
        <v>473.38</v>
      </c>
      <c r="E49" s="4" t="n">
        <v>0</v>
      </c>
      <c r="F49" s="4">
        <f>H49*0.6</f>
        <v/>
      </c>
      <c r="G49" s="4">
        <f>H49-F49</f>
        <v/>
      </c>
      <c r="H49" s="4">
        <f>D49*E49</f>
        <v/>
      </c>
      <c r="I49" s="2" t="inlineStr">
        <is>
          <t>минимальный стандарт — решение 05.10; C — shell &amp; core</t>
        </is>
      </c>
    </row>
    <row r="50">
      <c r="A50" s="2" t="inlineStr">
        <is>
          <t>11 Отделка чистовая</t>
        </is>
      </c>
      <c r="B50" s="2" t="inlineStr">
        <is>
          <t>Спортзал: спортивное покрытие, акустика, зеркала, раздевалка</t>
        </is>
      </c>
      <c r="C50" s="2" t="inlineStr">
        <is>
          <t>м²</t>
        </is>
      </c>
      <c r="D50" s="9" t="n">
        <v>109.15</v>
      </c>
      <c r="E50" s="4" t="n">
        <v>32000</v>
      </c>
      <c r="F50" s="4">
        <f>H50*0.65</f>
        <v/>
      </c>
      <c r="G50" s="4">
        <f>H50-F50</f>
        <v/>
      </c>
      <c r="H50" s="4">
        <f>D50*E50</f>
        <v/>
      </c>
      <c r="I50" s="2" t="inlineStr">
        <is>
          <t>по ТЗ интересантов, без лимита</t>
        </is>
      </c>
    </row>
    <row r="51">
      <c r="A51" s="2" t="inlineStr">
        <is>
          <t>11 Отделка чистовая</t>
        </is>
      </c>
      <c r="B51" s="2" t="inlineStr">
        <is>
          <t>Внутренние ограждения, поручни, техметаллоизделия</t>
        </is>
      </c>
      <c r="C51" s="2" t="inlineStr">
        <is>
          <t>компл</t>
        </is>
      </c>
      <c r="D51" s="9" t="n">
        <v>1</v>
      </c>
      <c r="E51" s="4" t="n">
        <v>900000</v>
      </c>
      <c r="F51" s="4">
        <f>H51*0.7</f>
        <v/>
      </c>
      <c r="G51" s="4">
        <f>H51-F51</f>
        <v/>
      </c>
      <c r="H51" s="4">
        <f>D51*E51</f>
        <v/>
      </c>
      <c r="I51" s="2" t="inlineStr">
        <is>
          <t>рынок МО</t>
        </is>
      </c>
    </row>
    <row r="52">
      <c r="A52" s="2" t="inlineStr">
        <is>
          <t>12 Отопление (ОВ)</t>
        </is>
      </c>
      <c r="B52" s="2" t="inlineStr">
        <is>
          <t>Котельная: пеллетный котёл 60 кВт + бункер, электрокотёл 24 кВт, буфер 1 000 л, обвязка, автоматика (Qрасч ≈ 61 кВт)</t>
        </is>
      </c>
      <c r="C52" s="2" t="inlineStr">
        <is>
          <t>компл</t>
        </is>
      </c>
      <c r="D52" s="9" t="n">
        <v>1</v>
      </c>
      <c r="E52" s="4" t="n">
        <v>2300000</v>
      </c>
      <c r="F52" s="4">
        <f>H52*0.75</f>
        <v/>
      </c>
      <c r="G52" s="4">
        <f>H52-F52</f>
        <v/>
      </c>
      <c r="H52" s="4">
        <f>D52*E52</f>
        <v/>
      </c>
      <c r="I52" s="2" t="inlineStr">
        <is>
          <t>аналог 291-ОВ «Ромарио»</t>
        </is>
      </c>
    </row>
    <row r="53">
      <c r="A53" s="2" t="inlineStr">
        <is>
          <t>12 Отопление (ОВ)</t>
        </is>
      </c>
      <c r="B53" s="2" t="inlineStr">
        <is>
          <t>Дымоход нержавеющий утеплённый Ø200, h ≈ 11 м</t>
        </is>
      </c>
      <c r="C53" s="2" t="inlineStr">
        <is>
          <t>компл</t>
        </is>
      </c>
      <c r="D53" s="9" t="n">
        <v>1</v>
      </c>
      <c r="E53" s="4" t="n">
        <v>250000</v>
      </c>
      <c r="F53" s="4">
        <f>H53*0.75</f>
        <v/>
      </c>
      <c r="G53" s="4">
        <f>H53-F53</f>
        <v/>
      </c>
      <c r="H53" s="4">
        <f>D53*E53</f>
        <v/>
      </c>
      <c r="I53" s="2" t="inlineStr">
        <is>
          <t>рынок</t>
        </is>
      </c>
    </row>
    <row r="54">
      <c r="A54" s="2" t="inlineStr">
        <is>
          <t>12 Отопление (ОВ)</t>
        </is>
      </c>
      <c r="B54" s="2" t="inlineStr">
        <is>
          <t>Тёплые полы водяные: проживание, МОП, спортзал</t>
        </is>
      </c>
      <c r="C54" s="2" t="inlineStr">
        <is>
          <t>м²</t>
        </is>
      </c>
      <c r="D54" s="9" t="n">
        <v>522.53</v>
      </c>
      <c r="E54" s="4" t="n">
        <v>2300</v>
      </c>
      <c r="F54" s="4">
        <f>H54*0.5</f>
        <v/>
      </c>
      <c r="G54" s="4">
        <f>H54-F54</f>
        <v/>
      </c>
      <c r="H54" s="4">
        <f>D54*E54</f>
        <v/>
      </c>
      <c r="I54" s="2" t="inlineStr">
        <is>
          <t>рынок МО</t>
        </is>
      </c>
    </row>
    <row r="55">
      <c r="A55" s="2" t="inlineStr">
        <is>
          <t>12 Отопление (ОВ)</t>
        </is>
      </c>
      <c r="B55" s="2" t="inlineStr">
        <is>
          <t>Конвекторы внутрипольные у витражей, радиаторы в с/у и КПП</t>
        </is>
      </c>
      <c r="C55" s="2" t="inlineStr">
        <is>
          <t>шт</t>
        </is>
      </c>
      <c r="D55" s="9" t="n">
        <v>28</v>
      </c>
      <c r="E55" s="4" t="n">
        <v>32000</v>
      </c>
      <c r="F55" s="4">
        <f>H55*0.75</f>
        <v/>
      </c>
      <c r="G55" s="4">
        <f>H55-F55</f>
        <v/>
      </c>
      <c r="H55" s="4">
        <f>D55*E55</f>
        <v/>
      </c>
      <c r="I55" s="2" t="inlineStr">
        <is>
          <t>рынок</t>
        </is>
      </c>
    </row>
    <row r="56">
      <c r="A56" s="2" t="inlineStr">
        <is>
          <t>12 Отопление (ОВ)</t>
        </is>
      </c>
      <c r="B56" s="2" t="inlineStr">
        <is>
          <t>Воздушно-отопительные агрегаты гаражей и эллинга (+5 °C)</t>
        </is>
      </c>
      <c r="C56" s="2" t="inlineStr">
        <is>
          <t>шт</t>
        </is>
      </c>
      <c r="D56" s="9" t="n">
        <v>6</v>
      </c>
      <c r="E56" s="4" t="n">
        <v>95000</v>
      </c>
      <c r="F56" s="4">
        <f>H56*0.75</f>
        <v/>
      </c>
      <c r="G56" s="4">
        <f>H56-F56</f>
        <v/>
      </c>
      <c r="H56" s="4">
        <f>D56*E56</f>
        <v/>
      </c>
      <c r="I56" s="2" t="inlineStr">
        <is>
          <t>Volcano/аналог</t>
        </is>
      </c>
    </row>
    <row r="57">
      <c r="A57" s="2" t="inlineStr">
        <is>
          <t>12 Отопление (ОВ)</t>
        </is>
      </c>
      <c r="B57" s="2" t="inlineStr">
        <is>
          <t>Магистрали, коллекторы, изоляция, ПНР</t>
        </is>
      </c>
      <c r="C57" s="2" t="inlineStr">
        <is>
          <t>компл</t>
        </is>
      </c>
      <c r="D57" s="9" t="n">
        <v>1</v>
      </c>
      <c r="E57" s="4" t="n">
        <v>800000</v>
      </c>
      <c r="F57" s="4">
        <f>H57*0.55</f>
        <v/>
      </c>
      <c r="G57" s="4">
        <f>H57-F57</f>
        <v/>
      </c>
      <c r="H57" s="4">
        <f>D57*E57</f>
        <v/>
      </c>
      <c r="I57" s="2" t="inlineStr">
        <is>
          <t>рынок</t>
        </is>
      </c>
    </row>
    <row r="58">
      <c r="A58" s="2" t="inlineStr">
        <is>
          <t>13 Водоснабжение и канализация (ВК)</t>
        </is>
      </c>
      <c r="B58" s="2" t="inlineStr">
        <is>
          <t>Узел ввода, учёт, фильтрация/умягчение</t>
        </is>
      </c>
      <c r="C58" s="2" t="inlineStr">
        <is>
          <t>компл</t>
        </is>
      </c>
      <c r="D58" s="9" t="n">
        <v>1</v>
      </c>
      <c r="E58" s="4" t="n">
        <v>380000</v>
      </c>
      <c r="F58" s="4">
        <f>H58*0.75</f>
        <v/>
      </c>
      <c r="G58" s="4">
        <f>H58-F58</f>
        <v/>
      </c>
      <c r="H58" s="4">
        <f>D58*E58</f>
        <v/>
      </c>
      <c r="I58" s="2" t="inlineStr">
        <is>
          <t>посёлковая сеть</t>
        </is>
      </c>
    </row>
    <row r="59">
      <c r="A59" s="2" t="inlineStr">
        <is>
          <t>13 Водоснабжение и канализация (ВК)</t>
        </is>
      </c>
      <c r="B59" s="2" t="inlineStr">
        <is>
          <t>Бойлер косвенного нагрева 500 л + рециркуляция ГВС</t>
        </is>
      </c>
      <c r="C59" s="2" t="inlineStr">
        <is>
          <t>компл</t>
        </is>
      </c>
      <c r="D59" s="9" t="n">
        <v>1</v>
      </c>
      <c r="E59" s="4" t="n">
        <v>330000</v>
      </c>
      <c r="F59" s="4">
        <f>H59*0.75</f>
        <v/>
      </c>
      <c r="G59" s="4">
        <f>H59-F59</f>
        <v/>
      </c>
      <c r="H59" s="4">
        <f>D59*E59</f>
        <v/>
      </c>
      <c r="I59" s="2" t="inlineStr">
        <is>
          <t>рынок</t>
        </is>
      </c>
    </row>
    <row r="60">
      <c r="A60" s="2" t="inlineStr">
        <is>
          <t>13 Водоснабжение и канализация (ВК)</t>
        </is>
      </c>
      <c r="B60" s="2" t="inlineStr">
        <is>
          <t>Внутренние сети В1/Т3/Т4/К1 с изоляцией</t>
        </is>
      </c>
      <c r="C60" s="2" t="inlineStr">
        <is>
          <t>м²</t>
        </is>
      </c>
      <c r="D60" s="9" t="n">
        <v>961.54</v>
      </c>
      <c r="E60" s="4" t="n">
        <v>1000</v>
      </c>
      <c r="F60" s="4">
        <f>H60*0.5</f>
        <v/>
      </c>
      <c r="G60" s="4">
        <f>H60-F60</f>
        <v/>
      </c>
      <c r="H60" s="4">
        <f>D60*E60</f>
        <v/>
      </c>
      <c r="I60" s="2" t="inlineStr">
        <is>
          <t>рынок МО</t>
        </is>
      </c>
    </row>
    <row r="61">
      <c r="A61" s="2" t="inlineStr">
        <is>
          <t>13 Водоснабжение и канализация (ВК)</t>
        </is>
      </c>
      <c r="B61" s="2" t="inlineStr">
        <is>
          <t>Санузлы: унитаз, раковина, душ/поддон, смесители — 10 шт.</t>
        </is>
      </c>
      <c r="C61" s="2" t="inlineStr">
        <is>
          <t>шт</t>
        </is>
      </c>
      <c r="D61" s="9" t="n">
        <v>10</v>
      </c>
      <c r="E61" s="4" t="n">
        <v>60000</v>
      </c>
      <c r="F61" s="4">
        <f>H61*0.7</f>
        <v/>
      </c>
      <c r="G61" s="4">
        <f>H61-F61</f>
        <v/>
      </c>
      <c r="H61" s="4">
        <f>D61*E61</f>
        <v/>
      </c>
      <c r="I61" s="2" t="inlineStr">
        <is>
          <t>C — только КПП и раздевалка, прочие — точки подключения</t>
        </is>
      </c>
    </row>
    <row r="62">
      <c r="A62" s="2" t="inlineStr">
        <is>
          <t>13 Водоснабжение и канализация (ВК)</t>
        </is>
      </c>
      <c r="B62" s="2" t="inlineStr">
        <is>
          <t>Трапы и лотки гаражей/эллинга, бензомаслоуловитель (ЛОС) 1 л/с</t>
        </is>
      </c>
      <c r="C62" s="2" t="inlineStr">
        <is>
          <t>компл</t>
        </is>
      </c>
      <c r="D62" s="9" t="n">
        <v>1</v>
      </c>
      <c r="E62" s="4" t="n">
        <v>600000</v>
      </c>
      <c r="F62" s="4">
        <f>H62*0.75</f>
        <v/>
      </c>
      <c r="G62" s="4">
        <f>H62-F62</f>
        <v/>
      </c>
      <c r="H62" s="4">
        <f>D62*E62</f>
        <v/>
      </c>
      <c r="I62" s="2" t="inlineStr">
        <is>
          <t>ВОЗ — обязательно</t>
        </is>
      </c>
    </row>
    <row r="63">
      <c r="A63" s="2" t="inlineStr">
        <is>
          <t>13 Водоснабжение и канализация (ВК)</t>
        </is>
      </c>
      <c r="B63" s="2" t="inlineStr">
        <is>
          <t>Кухня столовой, прачечная: подключение оборудования</t>
        </is>
      </c>
      <c r="C63" s="2" t="inlineStr">
        <is>
          <t>компл</t>
        </is>
      </c>
      <c r="D63" s="9" t="n">
        <v>1</v>
      </c>
      <c r="E63" s="4" t="n">
        <v>150000</v>
      </c>
      <c r="F63" s="4">
        <f>H63*0.5</f>
        <v/>
      </c>
      <c r="G63" s="4">
        <f>H63-F63</f>
        <v/>
      </c>
      <c r="H63" s="4">
        <f>D63*E63</f>
        <v/>
      </c>
      <c r="I63" s="2" t="inlineStr">
        <is>
          <t>рынок</t>
        </is>
      </c>
    </row>
    <row r="64">
      <c r="A64" s="2" t="inlineStr">
        <is>
          <t>14 Вентиляция и кондиционирование (ОВК)</t>
        </is>
      </c>
      <c r="B64" s="2" t="inlineStr">
        <is>
          <t>П1/В1 проживание 1 300 м³/ч с рекуператором, воздуховоды, распределители</t>
        </is>
      </c>
      <c r="C64" s="2" t="inlineStr">
        <is>
          <t>компл</t>
        </is>
      </c>
      <c r="D64" s="9" t="n">
        <v>1</v>
      </c>
      <c r="E64" s="4" t="n">
        <v>1200000</v>
      </c>
      <c r="F64" s="4">
        <f>H64*0.7</f>
        <v/>
      </c>
      <c r="G64" s="4">
        <f>H64-F64</f>
        <v/>
      </c>
      <c r="H64" s="4">
        <f>D64*E64</f>
        <v/>
      </c>
      <c r="I64" s="2" t="inlineStr">
        <is>
          <t>рынок</t>
        </is>
      </c>
    </row>
    <row r="65">
      <c r="A65" s="2" t="inlineStr">
        <is>
          <t>14 Вентиляция и кондиционирование (ОВК)</t>
        </is>
      </c>
      <c r="B65" s="2" t="inlineStr">
        <is>
          <t>П2/В2 спортзал 1 200 м³/ч с рекуператором и охладителем</t>
        </is>
      </c>
      <c r="C65" s="2" t="inlineStr">
        <is>
          <t>компл</t>
        </is>
      </c>
      <c r="D65" s="9" t="n">
        <v>1</v>
      </c>
      <c r="E65" s="4" t="n">
        <v>1700000</v>
      </c>
      <c r="F65" s="4">
        <f>H65*0.7</f>
        <v/>
      </c>
      <c r="G65" s="4">
        <f>H65-F65</f>
        <v/>
      </c>
      <c r="H65" s="4">
        <f>D65*E65</f>
        <v/>
      </c>
      <c r="I65" s="2" t="inlineStr">
        <is>
          <t>по ТЗ спортзала</t>
        </is>
      </c>
    </row>
    <row r="66">
      <c r="A66" s="2" t="inlineStr">
        <is>
          <t>14 Вентиляция и кондиционирование (ОВК)</t>
        </is>
      </c>
      <c r="B66" s="2" t="inlineStr">
        <is>
          <t>В3 гаражи и эллинг: вытяжка по датчикам CO/паров, клапаны</t>
        </is>
      </c>
      <c r="C66" s="2" t="inlineStr">
        <is>
          <t>компл</t>
        </is>
      </c>
      <c r="D66" s="9" t="n">
        <v>1</v>
      </c>
      <c r="E66" s="4" t="n">
        <v>650000</v>
      </c>
      <c r="F66" s="4">
        <f>H66*0.7</f>
        <v/>
      </c>
      <c r="G66" s="4">
        <f>H66-F66</f>
        <v/>
      </c>
      <c r="H66" s="4">
        <f>D66*E66</f>
        <v/>
      </c>
      <c r="I66" s="2" t="inlineStr">
        <is>
          <t>без приточки</t>
        </is>
      </c>
    </row>
    <row r="67">
      <c r="A67" s="2" t="inlineStr">
        <is>
          <t>14 Вентиляция и кондиционирование (ОВК)</t>
        </is>
      </c>
      <c r="B67" s="2" t="inlineStr">
        <is>
          <t>Кондиционирование: мини-VRF 22 кВт — спортзал, столовая, КПП, охрана</t>
        </is>
      </c>
      <c r="C67" s="2" t="inlineStr">
        <is>
          <t>компл</t>
        </is>
      </c>
      <c r="D67" s="9" t="n">
        <v>1</v>
      </c>
      <c r="E67" s="4" t="n">
        <v>1500000</v>
      </c>
      <c r="F67" s="4">
        <f>H67*0.75</f>
        <v/>
      </c>
      <c r="G67" s="4">
        <f>H67-F67</f>
        <v/>
      </c>
      <c r="H67" s="4">
        <f>D67*E67</f>
        <v/>
      </c>
      <c r="I67" s="2" t="inlineStr">
        <is>
          <t>A — «условно» ЭП</t>
        </is>
      </c>
    </row>
    <row r="68">
      <c r="A68" s="2" t="inlineStr">
        <is>
          <t>15 Электроснабжение и освещение (ЭОМ)</t>
        </is>
      </c>
      <c r="B68" s="2" t="inlineStr">
        <is>
          <t>ВРУ/ГРЩ 100 А, учёт, АВР на ДГУ посёлка, щиты этажные</t>
        </is>
      </c>
      <c r="C68" s="2" t="inlineStr">
        <is>
          <t>компл</t>
        </is>
      </c>
      <c r="D68" s="9" t="n">
        <v>1</v>
      </c>
      <c r="E68" s="4" t="n">
        <v>750000</v>
      </c>
      <c r="F68" s="4">
        <f>H68*0.75</f>
        <v/>
      </c>
      <c r="G68" s="4">
        <f>H68-F68</f>
        <v/>
      </c>
      <c r="H68" s="4">
        <f>D68*E68</f>
        <v/>
      </c>
      <c r="I68" s="2" t="inlineStr">
        <is>
          <t>Pр ≈ 60 кВт</t>
        </is>
      </c>
    </row>
    <row r="69">
      <c r="A69" s="2" t="inlineStr">
        <is>
          <t>15 Электроснабжение и освещение (ЭОМ)</t>
        </is>
      </c>
      <c r="B69" s="2" t="inlineStr">
        <is>
          <t>Кабельные сети, розетки, выключатели, освещение (светильники служебного стандарта)</t>
        </is>
      </c>
      <c r="C69" s="2" t="inlineStr">
        <is>
          <t>м²</t>
        </is>
      </c>
      <c r="D69" s="9" t="n">
        <v>961.54</v>
      </c>
      <c r="E69" s="4" t="n">
        <v>2600</v>
      </c>
      <c r="F69" s="4">
        <f>H69*0.55</f>
        <v/>
      </c>
      <c r="G69" s="4">
        <f>H69-F69</f>
        <v/>
      </c>
      <c r="H69" s="4">
        <f>D69*E69</f>
        <v/>
      </c>
      <c r="I69" s="2" t="inlineStr">
        <is>
          <t>A — 6,0 млн ЭП-сметы</t>
        </is>
      </c>
    </row>
    <row r="70">
      <c r="A70" s="2" t="inlineStr">
        <is>
          <t>15 Электроснабжение и освещение (ЭОМ)</t>
        </is>
      </c>
      <c r="B70" s="2" t="inlineStr">
        <is>
          <t>Освещение спортзала и фасадов (архитектурное, к воде)</t>
        </is>
      </c>
      <c r="C70" s="2" t="inlineStr">
        <is>
          <t>компл</t>
        </is>
      </c>
      <c r="D70" s="9" t="n">
        <v>1</v>
      </c>
      <c r="E70" s="4" t="n">
        <v>500000</v>
      </c>
      <c r="F70" s="4">
        <f>H70*0.75</f>
        <v/>
      </c>
      <c r="G70" s="4">
        <f>H70-F70</f>
        <v/>
      </c>
      <c r="H70" s="4">
        <f>D70*E70</f>
        <v/>
      </c>
      <c r="I70" s="2" t="inlineStr">
        <is>
          <t>рынок</t>
        </is>
      </c>
    </row>
    <row r="71">
      <c r="A71" s="2" t="inlineStr">
        <is>
          <t>15 Электроснабжение и освещение (ЭОМ)</t>
        </is>
      </c>
      <c r="B71" s="2" t="inlineStr">
        <is>
          <t>Зарядные станции 7,4 кВт с управлением нагрузкой</t>
        </is>
      </c>
      <c r="C71" s="2" t="inlineStr">
        <is>
          <t>шт</t>
        </is>
      </c>
      <c r="D71" s="9" t="n">
        <v>4</v>
      </c>
      <c r="E71" s="4" t="n">
        <v>0</v>
      </c>
      <c r="F71" s="4">
        <f>H71*0.8</f>
        <v/>
      </c>
      <c r="G71" s="4">
        <f>H71-F71</f>
        <v/>
      </c>
      <c r="H71" s="4">
        <f>D71*E71</f>
        <v/>
      </c>
      <c r="I71" s="2" t="inlineStr">
        <is>
          <t>C — только кабельные трассы</t>
        </is>
      </c>
    </row>
    <row r="72">
      <c r="A72" s="2" t="inlineStr">
        <is>
          <t>15 Электроснабжение и освещение (ЭОМ)</t>
        </is>
      </c>
      <c r="B72" s="2" t="inlineStr">
        <is>
          <t>Молниезащита, заземление, уравнивание потенциалов</t>
        </is>
      </c>
      <c r="C72" s="2" t="inlineStr">
        <is>
          <t>компл</t>
        </is>
      </c>
      <c r="D72" s="9" t="n">
        <v>1</v>
      </c>
      <c r="E72" s="4" t="n">
        <v>450000</v>
      </c>
      <c r="F72" s="4">
        <f>H72*0.6</f>
        <v/>
      </c>
      <c r="G72" s="4">
        <f>H72-F72</f>
        <v/>
      </c>
      <c r="H72" s="4">
        <f>D72*E72</f>
        <v/>
      </c>
      <c r="I72" s="2" t="inlineStr">
        <is>
          <t>аналог 291-МЗ</t>
        </is>
      </c>
    </row>
    <row r="73">
      <c r="A73" s="2" t="inlineStr">
        <is>
          <t>16 Слаботочные системы и пожарная безопасность (СС, ПБ)</t>
        </is>
      </c>
      <c r="B73" s="2" t="inlineStr">
        <is>
          <t>АПС адресная + СОУЭ 2 типа</t>
        </is>
      </c>
      <c r="C73" s="2" t="inlineStr">
        <is>
          <t>м²</t>
        </is>
      </c>
      <c r="D73" s="9" t="n">
        <v>961.54</v>
      </c>
      <c r="E73" s="4" t="n">
        <v>650</v>
      </c>
      <c r="F73" s="4">
        <f>H73*0.6</f>
        <v/>
      </c>
      <c r="G73" s="4">
        <f>H73-F73</f>
        <v/>
      </c>
      <c r="H73" s="4">
        <f>D73*E73</f>
        <v/>
      </c>
      <c r="I73" s="2" t="inlineStr">
        <is>
          <t>СП 484, 3.13130</t>
        </is>
      </c>
    </row>
    <row r="74">
      <c r="A74" s="2" t="inlineStr">
        <is>
          <t>16 Слаботочные системы и пожарная безопасность (СС, ПБ)</t>
        </is>
      </c>
      <c r="B74" s="2" t="inlineStr">
        <is>
          <t>Модульное пожаротушение эллинга и котельной (по разделу ПБ)</t>
        </is>
      </c>
      <c r="C74" s="2" t="inlineStr">
        <is>
          <t>компл</t>
        </is>
      </c>
      <c r="D74" s="9" t="n">
        <v>1</v>
      </c>
      <c r="E74" s="4" t="n">
        <v>400000</v>
      </c>
      <c r="F74" s="4">
        <f>H74*0.8</f>
        <v/>
      </c>
      <c r="G74" s="4">
        <f>H74-F74</f>
        <v/>
      </c>
      <c r="H74" s="4">
        <f>D74*E74</f>
        <v/>
      </c>
      <c r="I74" s="2" t="inlineStr">
        <is>
          <t>опция — проверить в ПБ</t>
        </is>
      </c>
    </row>
    <row r="75">
      <c r="A75" s="2" t="inlineStr">
        <is>
          <t>16 Слаботочные системы и пожарная безопасность (СС, ПБ)</t>
        </is>
      </c>
      <c r="B75" s="2" t="inlineStr">
        <is>
          <t>КПП: СКУД, шлагбаум, распознавание номеров, домофония</t>
        </is>
      </c>
      <c r="C75" s="2" t="inlineStr">
        <is>
          <t>компл</t>
        </is>
      </c>
      <c r="D75" s="9" t="n">
        <v>1</v>
      </c>
      <c r="E75" s="4" t="n">
        <v>600000</v>
      </c>
      <c r="F75" s="4">
        <f>H75*0.75</f>
        <v/>
      </c>
      <c r="G75" s="4">
        <f>H75-F75</f>
        <v/>
      </c>
      <c r="H75" s="4">
        <f>D75*E75</f>
        <v/>
      </c>
      <c r="I75" s="2" t="inlineStr">
        <is>
          <t>въезд посёлка</t>
        </is>
      </c>
    </row>
    <row r="76">
      <c r="A76" s="2" t="inlineStr">
        <is>
          <t>16 Слаботочные системы и пожарная безопасность (СС, ПБ)</t>
        </is>
      </c>
      <c r="B76" s="2" t="inlineStr">
        <is>
          <t>Видеонаблюдение 16 камер + сервер, охранная сигнализация</t>
        </is>
      </c>
      <c r="C76" s="2" t="inlineStr">
        <is>
          <t>компл</t>
        </is>
      </c>
      <c r="D76" s="9" t="n">
        <v>1</v>
      </c>
      <c r="E76" s="4" t="n">
        <v>600000</v>
      </c>
      <c r="F76" s="4">
        <f>H76*0.75</f>
        <v/>
      </c>
      <c r="G76" s="4">
        <f>H76-F76</f>
        <v/>
      </c>
      <c r="H76" s="4">
        <f>D76*E76</f>
        <v/>
      </c>
      <c r="I76" s="2" t="inlineStr">
        <is>
          <t>рынок</t>
        </is>
      </c>
    </row>
    <row r="77">
      <c r="A77" s="2" t="inlineStr">
        <is>
          <t>16 Слаботочные системы и пожарная безопасность (СС, ПБ)</t>
        </is>
      </c>
      <c r="B77" s="2" t="inlineStr">
        <is>
          <t>СКС, Wi-Fi, стойка, диспетчеризация инженерии (Home Assistant)</t>
        </is>
      </c>
      <c r="C77" s="2" t="inlineStr">
        <is>
          <t>компл</t>
        </is>
      </c>
      <c r="D77" s="9" t="n">
        <v>1</v>
      </c>
      <c r="E77" s="4" t="n">
        <v>400000</v>
      </c>
      <c r="F77" s="4">
        <f>H77*0.7</f>
        <v/>
      </c>
      <c r="G77" s="4">
        <f>H77-F77</f>
        <v/>
      </c>
      <c r="H77" s="4">
        <f>D77*E77</f>
        <v/>
      </c>
      <c r="I77" s="2" t="inlineStr">
        <is>
          <t>аналог 291-СС</t>
        </is>
      </c>
    </row>
    <row r="78">
      <c r="A78" s="2" t="inlineStr">
        <is>
          <t>16 Слаботочные системы и пожарная безопасность (СС, ПБ)</t>
        </is>
      </c>
      <c r="B78" s="2" t="inlineStr">
        <is>
          <t>Пусконаладка всех инженерных систем</t>
        </is>
      </c>
      <c r="C78" s="2" t="inlineStr">
        <is>
          <t>компл</t>
        </is>
      </c>
      <c r="D78" s="9" t="n">
        <v>1</v>
      </c>
      <c r="E78" s="4" t="n">
        <v>550000</v>
      </c>
      <c r="F78" s="4">
        <f>H78*0.0</f>
        <v/>
      </c>
      <c r="G78" s="4">
        <f>H78-F78</f>
        <v/>
      </c>
      <c r="H78" s="4">
        <f>D78*E78</f>
        <v/>
      </c>
      <c r="I78" s="2" t="inlineStr">
        <is>
          <t>рынок</t>
        </is>
      </c>
    </row>
    <row r="79">
      <c r="A79" s="6" t="inlineStr"/>
      <c r="B79" s="6" t="inlineStr">
        <is>
          <t>ИТОГО СМР</t>
        </is>
      </c>
      <c r="C79" s="6" t="inlineStr"/>
      <c r="D79" s="10" t="inlineStr"/>
      <c r="E79" s="7" t="inlineStr"/>
      <c r="F79" s="7">
        <f>SUM(F2:F78)</f>
        <v/>
      </c>
      <c r="G79" s="7">
        <f>SUM(G2:G78)</f>
        <v/>
      </c>
      <c r="H79" s="7">
        <f>SUM(H2:H78)</f>
        <v/>
      </c>
      <c r="I79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64" customWidth="1" min="2" max="2"/>
    <col width="13" customWidth="1" min="3" max="3"/>
    <col width="13" customWidth="1" min="4" max="4"/>
    <col width="13" customWidth="1" min="5" max="5"/>
    <col width="34" customWidth="1" min="6" max="6"/>
  </cols>
  <sheetData>
    <row r="1">
      <c r="A1" s="3" t="inlineStr">
        <is>
          <t>Раздел</t>
        </is>
      </c>
      <c r="B1" s="3" t="inlineStr">
        <is>
          <t>Наименование</t>
        </is>
      </c>
      <c r="C1" s="3" t="inlineStr">
        <is>
          <t>A</t>
        </is>
      </c>
      <c r="D1" s="3" t="inlineStr">
        <is>
          <t>B</t>
        </is>
      </c>
      <c r="E1" s="3" t="inlineStr">
        <is>
          <t>C</t>
        </is>
      </c>
      <c r="F1" s="3" t="inlineStr">
        <is>
          <t>Комментарий</t>
        </is>
      </c>
    </row>
    <row r="2">
      <c r="A2" s="2" t="inlineStr">
        <is>
          <t>20 Проектирование и изыскания</t>
        </is>
      </c>
      <c r="B2" s="2" t="inlineStr">
        <is>
          <t>Инженерно-геологические изыскания на пятне (4 скважины по 15 м, лаборатория)</t>
        </is>
      </c>
      <c r="C2" s="4" t="n">
        <v>450000</v>
      </c>
      <c r="D2" s="4" t="n">
        <v>400000</v>
      </c>
      <c r="E2" s="4" t="n">
        <v>400000</v>
      </c>
      <c r="F2" s="2" t="inlineStr">
        <is>
          <t>до КР фундамента</t>
        </is>
      </c>
    </row>
    <row r="3">
      <c r="A3" s="2" t="inlineStr">
        <is>
          <t>20 Проектирование и изыскания</t>
        </is>
      </c>
      <c r="B3" s="2" t="inlineStr">
        <is>
          <t>Рабочая документация АР + КР (КЖ, КД) + ИОС + ПБ</t>
        </is>
      </c>
      <c r="C3" s="4" t="n">
        <v>3400000</v>
      </c>
      <c r="D3" s="4" t="n">
        <v>2900000</v>
      </c>
      <c r="E3" s="4" t="n">
        <v>2600000</v>
      </c>
      <c r="F3" s="2" t="inlineStr">
        <is>
          <t>3,0 тыс. ₽/м²</t>
        </is>
      </c>
    </row>
    <row r="4">
      <c r="A4" s="2" t="inlineStr">
        <is>
          <t>20 Проектирование и изыскания</t>
        </is>
      </c>
      <c r="B4" s="2" t="inlineStr">
        <is>
          <t>Авторский надзор архитектора и конструктора</t>
        </is>
      </c>
      <c r="C4" s="4" t="n">
        <v>450000</v>
      </c>
      <c r="D4" s="4" t="n">
        <v>350000</v>
      </c>
      <c r="E4" s="4" t="n">
        <v>300000</v>
      </c>
      <c r="F4" s="2" t="inlineStr">
        <is>
          <t>12 мес</t>
        </is>
      </c>
    </row>
    <row r="5">
      <c r="A5" s="2" t="inlineStr">
        <is>
          <t>20 Проектирование и изыскания</t>
        </is>
      </c>
      <c r="B5" s="2" t="inlineStr">
        <is>
          <t>Технический надзор заказчика (≈ 1,5 % СМР)</t>
        </is>
      </c>
      <c r="C5" s="4" t="n">
        <v>1900000</v>
      </c>
      <c r="D5" s="4" t="n">
        <v>1500000</v>
      </c>
      <c r="E5" s="4" t="n">
        <v>1300000</v>
      </c>
      <c r="F5" s="2" t="inlineStr">
        <is>
          <t>независимый</t>
        </is>
      </c>
    </row>
    <row r="6">
      <c r="A6" s="2" t="inlineStr">
        <is>
          <t>20 Проектирование и изыскания</t>
        </is>
      </c>
      <c r="B6" s="2" t="inlineStr">
        <is>
          <t>Негосударственная экспертиза КР и ПБ (добровольная)</t>
        </is>
      </c>
      <c r="C6" s="4" t="n">
        <v>450000</v>
      </c>
      <c r="D6" s="4" t="n">
        <v>400000</v>
      </c>
      <c r="E6" s="4" t="n">
        <v>0</v>
      </c>
      <c r="F6" s="2" t="inlineStr">
        <is>
          <t>рекомендуется</t>
        </is>
      </c>
    </row>
    <row r="7">
      <c r="A7" s="2" t="inlineStr">
        <is>
          <t>21 Право и регистрация</t>
        </is>
      </c>
      <c r="B7" s="2" t="inlineStr">
        <is>
          <t>Юрист: ВОЗ/прибрежная полоса, капитальность в 100-м зоне, ЗСО</t>
        </is>
      </c>
      <c r="C7" s="4" t="n">
        <v>350000</v>
      </c>
      <c r="D7" s="4" t="n">
        <v>300000</v>
      </c>
      <c r="E7" s="4" t="n">
        <v>300000</v>
      </c>
      <c r="F7" s="2" t="inlineStr">
        <is>
          <t>поручение Сычёву</t>
        </is>
      </c>
    </row>
    <row r="8">
      <c r="A8" s="2" t="inlineStr">
        <is>
          <t>21 Право и регистрация</t>
        </is>
      </c>
      <c r="B8" s="2" t="inlineStr">
        <is>
          <t>Техплан, постановка на кадастровый учёт, регистрация</t>
        </is>
      </c>
      <c r="C8" s="4" t="n">
        <v>90000</v>
      </c>
      <c r="D8" s="4" t="n">
        <v>90000</v>
      </c>
      <c r="E8" s="4" t="n">
        <v>90000</v>
      </c>
      <c r="F8" s="2" t="inlineStr">
        <is>
          <t>≈ 45 тыс. ₽ (19.10)</t>
        </is>
      </c>
    </row>
    <row r="9">
      <c r="A9" s="2" t="inlineStr">
        <is>
          <t>22 Наружные сети и благоустройство</t>
        </is>
      </c>
      <c r="B9" s="2" t="inlineStr">
        <is>
          <t>Подключение к посёлковым сетям: кабель 0,4 кВ, В1, К1, связь (≈ 80 м)</t>
        </is>
      </c>
      <c r="C9" s="4" t="n">
        <v>2200000</v>
      </c>
      <c r="D9" s="4" t="n">
        <v>1800000</v>
      </c>
      <c r="E9" s="4" t="n">
        <v>1800000</v>
      </c>
      <c r="F9" s="2" t="inlineStr">
        <is>
          <t>от точек посёлковых сетей</t>
        </is>
      </c>
    </row>
    <row r="10">
      <c r="A10" s="2" t="inlineStr">
        <is>
          <t>22 Наружные сети и благоустройство</t>
        </is>
      </c>
      <c r="B10" s="2" t="inlineStr">
        <is>
          <t>Площадки у ворот, гостевая парковка, навес, разворот (≈ 650 м² плитка/асфальт)</t>
        </is>
      </c>
      <c r="C10" s="4" t="n">
        <v>4200000</v>
      </c>
      <c r="D10" s="4" t="n">
        <v>3300000</v>
      </c>
      <c r="E10" s="4" t="n">
        <v>2200000</v>
      </c>
      <c r="F10" s="2" t="inlineStr">
        <is>
          <t>по генплану Спицыной</t>
        </is>
      </c>
    </row>
    <row r="11">
      <c r="A11" s="2" t="inlineStr">
        <is>
          <t>22 Наружные сети и благоустройство</t>
        </is>
      </c>
      <c r="B11" s="2" t="inlineStr">
        <is>
          <t>Ливневая канализация с ЛОС участка эллинга</t>
        </is>
      </c>
      <c r="C11" s="4" t="n">
        <v>900000</v>
      </c>
      <c r="D11" s="4" t="n">
        <v>800000</v>
      </c>
      <c r="E11" s="4" t="n">
        <v>800000</v>
      </c>
      <c r="F11" s="2" t="inlineStr">
        <is>
          <t>ВОЗ: очистка обязательна</t>
        </is>
      </c>
    </row>
    <row r="12">
      <c r="A12" s="2" t="inlineStr">
        <is>
          <t>22 Наружные сети и благоустройство</t>
        </is>
      </c>
      <c r="B12" s="2" t="inlineStr">
        <is>
          <t>Дорога эллинг — пирс (≈ 120 м, щебёночное/асфальт)</t>
        </is>
      </c>
      <c r="C12" s="4" t="n">
        <v>1500000</v>
      </c>
      <c r="D12" s="4" t="n">
        <v>1200000</v>
      </c>
      <c r="E12" s="4" t="n">
        <v>0</v>
      </c>
      <c r="F12" s="2" t="inlineStr">
        <is>
          <t>ПОЛ по :469 — до 30.11</t>
        </is>
      </c>
    </row>
    <row r="13">
      <c r="A13" s="2" t="inlineStr">
        <is>
          <t>23 Оснащение</t>
        </is>
      </c>
      <c r="B13" s="2" t="inlineStr">
        <is>
          <t>Оборудование спортзала (по ТЗ интересантов)</t>
        </is>
      </c>
      <c r="C13" s="4" t="n">
        <v>5000000</v>
      </c>
      <c r="D13" s="4" t="n">
        <v>4000000</v>
      </c>
      <c r="E13" s="4" t="n">
        <v>4000000</v>
      </c>
      <c r="F13" s="2" t="inlineStr">
        <is>
          <t>без лимита — оценка</t>
        </is>
      </c>
    </row>
    <row r="14">
      <c r="A14" s="2" t="inlineStr">
        <is>
          <t>23 Оснащение</t>
        </is>
      </c>
      <c r="B14" s="2" t="inlineStr">
        <is>
          <t>Мебель и техника: 13 спален, столовая, кухня управляющего, охрана, КПП</t>
        </is>
      </c>
      <c r="C14" s="4" t="n">
        <v>4000000</v>
      </c>
      <c r="D14" s="4" t="n">
        <v>2600000</v>
      </c>
      <c r="E14" s="4" t="n">
        <v>900000</v>
      </c>
      <c r="F14" s="2" t="inlineStr">
        <is>
          <t>C — КПП и охрана</t>
        </is>
      </c>
    </row>
    <row r="15">
      <c r="A15" s="2" t="inlineStr">
        <is>
          <t>23 Оснащение</t>
        </is>
      </c>
      <c r="B15" s="2" t="inlineStr">
        <is>
          <t>Прачечная, оборудование эллинга (лебёдка, стеллажи, тележки)</t>
        </is>
      </c>
      <c r="C15" s="4" t="n">
        <v>900000</v>
      </c>
      <c r="D15" s="4" t="n">
        <v>700000</v>
      </c>
      <c r="E15" s="4" t="n">
        <v>500000</v>
      </c>
      <c r="F15" s="2" t="inlineStr">
        <is>
          <t>рынок</t>
        </is>
      </c>
    </row>
    <row r="16">
      <c r="A16" s="2" t="inlineStr">
        <is>
          <t>24 Причал (вне здания)</t>
        </is>
      </c>
      <c r="B16" s="2" t="inlineStr">
        <is>
          <t>Сборный понтон 2×(3×12 м) с трапом и швартовкой (база ГИМС)</t>
        </is>
      </c>
      <c r="C16" s="4" t="n">
        <v>5500000</v>
      </c>
      <c r="D16" s="4" t="n">
        <v>4500000</v>
      </c>
      <c r="E16" s="4" t="n">
        <v>0</v>
      </c>
      <c r="F16" s="2" t="inlineStr">
        <is>
          <t>не регистрируется; зимой лежит на дне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2" customWidth="1" min="5" max="5"/>
  </cols>
  <sheetData>
    <row r="1">
      <c r="A1" s="3" t="inlineStr">
        <is>
          <t>Раздел</t>
        </is>
      </c>
      <c r="B1" s="3" t="inlineStr">
        <is>
          <t>A</t>
        </is>
      </c>
      <c r="C1" s="3" t="inlineStr">
        <is>
          <t>B</t>
        </is>
      </c>
      <c r="D1" s="3" t="inlineStr">
        <is>
          <t>C</t>
        </is>
      </c>
      <c r="E1" s="3" t="inlineStr">
        <is>
          <t>B, ₽/м²</t>
        </is>
      </c>
    </row>
    <row r="2">
      <c r="A2" s="2" t="inlineStr">
        <is>
          <t>01 Подготовка территории</t>
        </is>
      </c>
      <c r="B2" s="4" t="n">
        <v>2110000</v>
      </c>
      <c r="C2" s="4" t="n">
        <v>1420000</v>
      </c>
      <c r="D2" s="4" t="n">
        <v>1420000</v>
      </c>
      <c r="E2" s="4" t="n">
        <v>1477</v>
      </c>
    </row>
    <row r="3">
      <c r="A3" s="2" t="inlineStr">
        <is>
          <t>02 Земляные работы</t>
        </is>
      </c>
      <c r="B3" s="4" t="n">
        <v>1017600</v>
      </c>
      <c r="C3" s="4" t="n">
        <v>896400</v>
      </c>
      <c r="D3" s="4" t="n">
        <v>896400</v>
      </c>
      <c r="E3" s="4" t="n">
        <v>932</v>
      </c>
    </row>
    <row r="4">
      <c r="A4" s="2" t="inlineStr">
        <is>
          <t>03 Фундамент</t>
        </is>
      </c>
      <c r="B4" s="4" t="n">
        <v>13254324</v>
      </c>
      <c r="C4" s="4" t="n">
        <v>8438449</v>
      </c>
      <c r="D4" s="4" t="n">
        <v>8438449</v>
      </c>
      <c r="E4" s="4" t="n">
        <v>8776</v>
      </c>
    </row>
    <row r="5">
      <c r="A5" s="2" t="inlineStr">
        <is>
          <t>04 Каркас и перекрытия</t>
        </is>
      </c>
      <c r="B5" s="4" t="n">
        <v>14774376</v>
      </c>
      <c r="C5" s="4" t="n">
        <v>11895510</v>
      </c>
      <c r="D5" s="4" t="n">
        <v>8141432</v>
      </c>
      <c r="E5" s="4" t="n">
        <v>12371</v>
      </c>
    </row>
    <row r="6">
      <c r="A6" s="2" t="inlineStr">
        <is>
          <t>05 Стены и перегородки</t>
        </is>
      </c>
      <c r="B6" s="4" t="n">
        <v>7558230</v>
      </c>
      <c r="C6" s="4" t="n">
        <v>7269420</v>
      </c>
      <c r="D6" s="4" t="n">
        <v>7269420</v>
      </c>
      <c r="E6" s="4" t="n">
        <v>7560</v>
      </c>
    </row>
    <row r="7">
      <c r="A7" s="2" t="inlineStr">
        <is>
          <t>06 Кровля</t>
        </is>
      </c>
      <c r="B7" s="4" t="n">
        <v>14104128</v>
      </c>
      <c r="C7" s="4" t="n">
        <v>13537245</v>
      </c>
      <c r="D7" s="4" t="n">
        <v>11916285</v>
      </c>
      <c r="E7" s="4" t="n">
        <v>14079</v>
      </c>
    </row>
    <row r="8">
      <c r="A8" s="2" t="inlineStr">
        <is>
          <t>07 Фасады</t>
        </is>
      </c>
      <c r="B8" s="4" t="n">
        <v>14817000</v>
      </c>
      <c r="C8" s="4" t="n">
        <v>12683000</v>
      </c>
      <c r="D8" s="4" t="n">
        <v>12401000</v>
      </c>
      <c r="E8" s="4" t="n">
        <v>13190</v>
      </c>
    </row>
    <row r="9">
      <c r="A9" s="2" t="inlineStr">
        <is>
          <t>08 Окна, витражи, ворота</t>
        </is>
      </c>
      <c r="B9" s="4" t="n">
        <v>10937720</v>
      </c>
      <c r="C9" s="4" t="n">
        <v>8206000</v>
      </c>
      <c r="D9" s="4" t="n">
        <v>7815360</v>
      </c>
      <c r="E9" s="4" t="n">
        <v>8534</v>
      </c>
    </row>
    <row r="10">
      <c r="A10" s="2" t="inlineStr">
        <is>
          <t>09 Наружные МК</t>
        </is>
      </c>
      <c r="B10" s="4" t="n">
        <v>3150000</v>
      </c>
      <c r="C10" s="4" t="n">
        <v>2350000</v>
      </c>
      <c r="D10" s="4" t="n">
        <v>1750000</v>
      </c>
      <c r="E10" s="4" t="n">
        <v>2444</v>
      </c>
    </row>
    <row r="11">
      <c r="A11" s="2" t="inlineStr">
        <is>
          <t>10 Отделка черновая</t>
        </is>
      </c>
      <c r="B11" s="4" t="n">
        <v>10961556</v>
      </c>
      <c r="C11" s="4" t="n">
        <v>7119608</v>
      </c>
      <c r="D11" s="4" t="n">
        <v>7005905</v>
      </c>
      <c r="E11" s="4" t="n">
        <v>7404</v>
      </c>
    </row>
    <row r="12">
      <c r="A12" s="2" t="inlineStr">
        <is>
          <t>11 Отделка чистовая</t>
        </is>
      </c>
      <c r="B12" s="4" t="n">
        <v>24932729</v>
      </c>
      <c r="C12" s="4" t="n">
        <v>12267645</v>
      </c>
      <c r="D12" s="4" t="n">
        <v>5150820</v>
      </c>
      <c r="E12" s="4" t="n">
        <v>12758</v>
      </c>
    </row>
    <row r="13">
      <c r="A13" s="2" t="inlineStr">
        <is>
          <t>12 Отопление (ОВ)</t>
        </is>
      </c>
      <c r="B13" s="4" t="n">
        <v>7258578</v>
      </c>
      <c r="C13" s="4" t="n">
        <v>6117819</v>
      </c>
      <c r="D13" s="4" t="n">
        <v>6017819</v>
      </c>
      <c r="E13" s="4" t="n">
        <v>6363</v>
      </c>
    </row>
    <row r="14">
      <c r="A14" s="2" t="inlineStr">
        <is>
          <t>13 Водоснабжение и канализация (ВК)</t>
        </is>
      </c>
      <c r="B14" s="4" t="n">
        <v>4580002</v>
      </c>
      <c r="C14" s="4" t="n">
        <v>3667694</v>
      </c>
      <c r="D14" s="4" t="n">
        <v>3021540</v>
      </c>
      <c r="E14" s="4" t="n">
        <v>3814</v>
      </c>
    </row>
    <row r="15">
      <c r="A15" s="2" t="inlineStr">
        <is>
          <t>14 Вентиляция и кондиционирование (ОВК)</t>
        </is>
      </c>
      <c r="B15" s="4" t="n">
        <v>8900000</v>
      </c>
      <c r="C15" s="4" t="n">
        <v>6250000</v>
      </c>
      <c r="D15" s="4" t="n">
        <v>5050000</v>
      </c>
      <c r="E15" s="4" t="n">
        <v>6500</v>
      </c>
    </row>
    <row r="16">
      <c r="A16" s="2" t="inlineStr">
        <is>
          <t>15 Электроснабжение и освещение (ЭОМ)</t>
        </is>
      </c>
      <c r="B16" s="4" t="n">
        <v>6994622</v>
      </c>
      <c r="C16" s="4" t="n">
        <v>5553082</v>
      </c>
      <c r="D16" s="4" t="n">
        <v>4200004</v>
      </c>
      <c r="E16" s="4" t="n">
        <v>5775</v>
      </c>
    </row>
    <row r="17">
      <c r="A17" s="2" t="inlineStr">
        <is>
          <t>16 Слаботочные системы и пожарная безопасность (СС, ПБ)</t>
        </is>
      </c>
      <c r="B17" s="4" t="n">
        <v>4871155</v>
      </c>
      <c r="C17" s="4" t="n">
        <v>3575001</v>
      </c>
      <c r="D17" s="4" t="n">
        <v>3175001</v>
      </c>
      <c r="E17" s="4" t="n">
        <v>3718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Площади помещений — по экспликациям АР-концепта: 1 этаж ред. 01.09 (416,33 м²), 2 этаж ред. 31.07 (545,21 м²), итого 961,54 м². Смета ЭП считала 964,60 м² (иная редакция) — разница 0,3 %.</t>
        </is>
      </c>
    </row>
    <row r="2">
      <c r="A2" t="inlineStr">
        <is>
          <t>Объёмы конструкций (перекрытия, кладка, кровли, фасады, остекление) — из сметы ЭП, лист «Исходные данные».</t>
        </is>
      </c>
    </row>
    <row r="3">
      <c r="A3" t="inlineStr">
        <is>
          <t>Высоты этажей: 1 этаж 4,30 м (гаражи, ворота 2,6 м, катер на прицепе), 2 этаж 3,10 м; конёк +10,73.</t>
        </is>
      </c>
    </row>
    <row r="4">
      <c r="A4" t="inlineStr">
        <is>
          <t>Ворота: 8 гаражных 3,5×2,6 м и 1 эллинговые 4,5×3,6 м — размеры по сетке осей (шаг 4 475 + 825), уточнить по ведомости проёмов архитектора.</t>
        </is>
      </c>
    </row>
    <row r="5">
      <c r="A5" t="inlineStr">
        <is>
          <t>Геологии на пятне нет. Принят суглинок/глина ≈ 3 м по данным совещания 05.10 и ИГИ участков; несущая способность сваи 380 кН — до испытаний.</t>
        </is>
      </c>
    </row>
    <row r="6">
      <c r="A6" t="inlineStr">
        <is>
          <t>Газа нет до 2028 г.; основной источник тепла — пеллеты с резервным электрокотлом, переход на газ заложен (как в доме «Ромарио»).</t>
        </is>
      </c>
    </row>
    <row r="7">
      <c r="A7" t="inlineStr">
        <is>
          <t>Цены — Москва и МО, IV кв. 2026, с НДС, «под ключ» (материал + работа + доставка + накладные подрядчика).</t>
        </is>
      </c>
    </row>
    <row r="8">
      <c r="A8" t="inlineStr">
        <is>
          <t>Файл по ссылке Dropbox от 23.10.2026 из окружения недоступен (хост заблокирован сетевой политикой) — при его получении сверить экспликацию, проёмы и ворота (см. записку).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2026-10-23T09:34:35Z</dcterms:created>
  <dcterms:modified xmlns:dcterms="http://purl.org/dc/terms/" xmlns:xsi="http://www.w3.org/2001/XMLSchema-instance" xsi:type="dcterms:W3CDTF">2026-10-23T09:34:35Z</dcterms:modified>
</cp:coreProperties>
</file>