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Смета A" sheetId="2" state="visible" r:id="rId2"/>
    <sheet xmlns:r="http://schemas.openxmlformats.org/officeDocument/2006/relationships" name="Смета B" sheetId="3" state="visible" r:id="rId3"/>
    <sheet xmlns:r="http://schemas.openxmlformats.org/officeDocument/2006/relationships" name="Смета C" sheetId="4" state="visible" r:id="rId4"/>
    <sheet xmlns:r="http://schemas.openxmlformats.org/officeDocument/2006/relationships" name="Вне СМР" sheetId="5" state="visible" r:id="rId5"/>
    <sheet xmlns:r="http://schemas.openxmlformats.org/officeDocument/2006/relationships" name="По разделам" sheetId="6" state="visible" r:id="rId6"/>
    <sheet xmlns:r="http://schemas.openxmlformats.org/officeDocument/2006/relationships" name="Допущения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DE5F0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3" fontId="1" fillId="3" borderId="1" applyAlignment="1" pivotButton="0" quotePrefix="0" xfId="0">
      <alignment vertical="top" wrapText="1"/>
    </xf>
    <xf numFmtId="3" fontId="0" fillId="0" borderId="0" pivotButton="0" quotePrefix="0" xfId="0"/>
    <xf numFmtId="4" fontId="0" fillId="0" borderId="1" applyAlignment="1" pivotButton="0" quotePrefix="0" xfId="0">
      <alignment vertical="top" wrapText="1"/>
    </xf>
    <xf numFmtId="4" fontId="1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26" customWidth="1" min="4" max="4"/>
  </cols>
  <sheetData>
    <row r="1">
      <c r="A1" s="1" t="inlineStr">
        <is>
          <t>Эллинг «Застава», посёлок «Берта» — полная стоимость, ₽ с НДС (IV кв. 2026)</t>
        </is>
      </c>
      <c r="B1" s="2" t="n"/>
      <c r="C1" s="2" t="n"/>
      <c r="D1" s="2" t="n"/>
    </row>
    <row r="2">
      <c r="A2" s="2" t="inlineStr">
        <is>
          <t>Площадь помещений 956.76 м²; цены Москва/МО под ключ; формулы живые — меняйте цены на листах сценариев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3" t="inlineStr">
        <is>
          <t>Показатель</t>
        </is>
      </c>
      <c r="B4" s="3" t="inlineStr">
        <is>
          <t>A — проект ЭП как есть</t>
        </is>
      </c>
      <c r="C4" s="3" t="inlineStr">
        <is>
          <t>B — рекомендуемый</t>
        </is>
      </c>
      <c r="D4" s="3" t="inlineStr">
        <is>
          <t>C — минимум первой очереди</t>
        </is>
      </c>
    </row>
    <row r="5">
      <c r="A5" s="2" t="inlineStr">
        <is>
          <t>СМР здания</t>
        </is>
      </c>
      <c r="B5" s="4">
        <f>'Смета A'!H80</f>
        <v/>
      </c>
      <c r="C5" s="4">
        <f>'Смета B'!H80</f>
        <v/>
      </c>
      <c r="D5" s="4">
        <f>'Смета C'!H80</f>
        <v/>
      </c>
    </row>
    <row r="6">
      <c r="A6" s="2" t="inlineStr">
        <is>
          <t>Вне СМР</t>
        </is>
      </c>
      <c r="B6" s="4">
        <f>SUM('Вне СМР'!C2:C17)</f>
        <v/>
      </c>
      <c r="C6" s="4">
        <f>SUM('Вне СМР'!D2:D17)</f>
        <v/>
      </c>
      <c r="D6" s="4">
        <f>SUM('Вне СМР'!E2:E17)</f>
        <v/>
      </c>
    </row>
    <row r="7">
      <c r="A7" s="2" t="inlineStr">
        <is>
          <t>Резерв, доля</t>
        </is>
      </c>
      <c r="B7" s="5" t="n">
        <v>0.15</v>
      </c>
      <c r="C7" s="5" t="n">
        <v>0.12</v>
      </c>
      <c r="D7" s="5" t="n">
        <v>0.15</v>
      </c>
    </row>
    <row r="8">
      <c r="A8" s="2" t="inlineStr">
        <is>
          <t>Резерв</t>
        </is>
      </c>
      <c r="B8" s="4">
        <f>(B5+B6)*B7</f>
        <v/>
      </c>
      <c r="C8" s="4">
        <f>(C5+C6)*C7</f>
        <v/>
      </c>
      <c r="D8" s="4">
        <f>(D5+D6)*D7</f>
        <v/>
      </c>
    </row>
    <row r="9">
      <c r="A9" s="6" t="inlineStr">
        <is>
          <t>ПОЛНАЯ СТОИМОСТЬ</t>
        </is>
      </c>
      <c r="B9" s="7">
        <f>B5+B6+B8</f>
        <v/>
      </c>
      <c r="C9" s="7">
        <f>C5+C6+C8</f>
        <v/>
      </c>
      <c r="D9" s="7">
        <f>D5+D6+D8</f>
        <v/>
      </c>
    </row>
    <row r="10">
      <c r="A10" s="2" t="inlineStr">
        <is>
          <t>СМР, ₽/м²</t>
        </is>
      </c>
      <c r="B10" s="4">
        <f>B5/956.76</f>
        <v/>
      </c>
      <c r="C10" s="4">
        <f>C5/956.76</f>
        <v/>
      </c>
      <c r="D10" s="4">
        <f>D5/956.76</f>
        <v/>
      </c>
    </row>
    <row r="11">
      <c r="A11" s="2" t="inlineStr">
        <is>
          <t>Полная, ₽/м²</t>
        </is>
      </c>
      <c r="B11" s="4">
        <f>B9/956.76</f>
        <v/>
      </c>
      <c r="C11" s="4">
        <f>C9/956.76</f>
        <v/>
      </c>
      <c r="D11" s="4">
        <f>D9/956.76</f>
        <v/>
      </c>
    </row>
    <row r="13">
      <c r="A13" t="inlineStr">
        <is>
          <t>Справочно</t>
        </is>
      </c>
      <c r="B13" t="inlineStr">
        <is>
          <t>До резерва</t>
        </is>
      </c>
      <c r="C13" t="inlineStr">
        <is>
          <t>С резервом</t>
        </is>
      </c>
      <c r="D13" t="inlineStr">
        <is>
          <t>₽/м²</t>
        </is>
      </c>
    </row>
    <row r="14">
      <c r="A14" t="inlineStr">
        <is>
          <t>Смета ЭП (вариант 2 ЖБ)</t>
        </is>
      </c>
      <c r="B14" s="8" t="n">
        <v>141200000</v>
      </c>
      <c r="C14" s="8" t="n">
        <v>155320000</v>
      </c>
      <c r="D14" s="8" t="n">
        <v>161020</v>
      </c>
    </row>
    <row r="15">
      <c r="A15" t="inlineStr">
        <is>
          <t>Модель Строй Хауз (× 43,5/31,36)</t>
        </is>
      </c>
      <c r="B15" s="8" t="n">
        <v>195860969</v>
      </c>
      <c r="C15" s="8" t="inlineStr"/>
      <c r="D15" s="8" t="n">
        <v>203049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120000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250000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35000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1300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1900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900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82 шт.</t>
        </is>
      </c>
      <c r="C8" s="2" t="inlineStr">
        <is>
          <t>шт</t>
        </is>
      </c>
      <c r="D8" s="9" t="n">
        <v>82</v>
      </c>
      <c r="E8" s="4" t="n">
        <v>34000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350000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513.1900000000001</v>
      </c>
      <c r="E10" s="4" t="n">
        <v>750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590</v>
      </c>
      <c r="E11" s="4" t="n">
        <v>1100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1300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</v>
      </c>
      <c r="E13" s="4" t="n">
        <v>27000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513.1900000000001</v>
      </c>
      <c r="E14" s="4" t="n">
        <v>7800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350000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по ЭП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210000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в ЭП — металл; 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Перекрытие 1 этажа и под плоскую кровлю: монолит ЖБ ребристое, плита 250/200 (A, B) / ПБ + монолитные участки (C)</t>
        </is>
      </c>
      <c r="C17" s="2" t="inlineStr">
        <is>
          <t>м²</t>
        </is>
      </c>
      <c r="D17" s="9" t="n">
        <v>945.59</v>
      </c>
      <c r="E17" s="4" t="n">
        <v>12000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по ЭП 660,5 м² плиты 250 + 285,1 м² плиты 200; монолит 10,5–12,5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945.59</v>
      </c>
      <c r="E18" s="4" t="n">
        <v>900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32000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012 с ограждением</t>
        </is>
      </c>
      <c r="C20" s="2" t="inlineStr">
        <is>
          <t>компл</t>
        </is>
      </c>
      <c r="D20" s="9" t="n">
        <v>1</v>
      </c>
      <c r="E20" s="4" t="n">
        <v>650000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D400 400 мм (блок, клей, армирование, кладка)</t>
        </is>
      </c>
      <c r="C21" s="2" t="inlineStr">
        <is>
          <t>м³</t>
        </is>
      </c>
      <c r="D21" s="9" t="n">
        <v>257.56</v>
      </c>
      <c r="E21" s="4" t="n">
        <v>13500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147.21</v>
      </c>
      <c r="E22" s="4" t="n">
        <v>13500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44.25</v>
      </c>
      <c r="E23" s="4" t="n">
        <v>15000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353.6</v>
      </c>
      <c r="E25" s="4" t="n">
        <v>7200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 10°: стропила, ОСП, мембраны, Кликфальц Pro, водосток, снегозадержание</t>
        </is>
      </c>
      <c r="C26" s="2" t="inlineStr">
        <is>
          <t>м²</t>
        </is>
      </c>
      <c r="D26" s="9" t="n">
        <v>448.03</v>
      </c>
      <c r="E26" s="4" t="n">
        <v>11500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 неэксплуатируемая: уклоны, утепление XPS 200, мембрана, примыкания</t>
        </is>
      </c>
      <c r="C27" s="2" t="inlineStr">
        <is>
          <t>м²</t>
        </is>
      </c>
      <c r="D27" s="9" t="n">
        <v>339.91</v>
      </c>
      <c r="E27" s="4" t="n">
        <v>8500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по ЭП — неэксплуатируемая; рынок 7–10 тыс.</t>
        </is>
      </c>
    </row>
    <row r="28">
      <c r="A28" s="2" t="inlineStr">
        <is>
          <t>06 Кровля</t>
        </is>
      </c>
      <c r="B28" s="2" t="inlineStr">
        <is>
          <t>Каркасные стены чердака (фронтоны) 200 мм с фальцем</t>
        </is>
      </c>
      <c r="C28" s="2" t="inlineStr">
        <is>
          <t>м²</t>
        </is>
      </c>
      <c r="D28" s="9" t="n">
        <v>51.72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2600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10500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6500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6500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104</v>
      </c>
      <c r="E35" s="4" t="n">
        <v>9000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104 м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33000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20000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2500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(одинарные боксы) 3,5×2,6 м</t>
        </is>
      </c>
      <c r="C39" s="2" t="inlineStr">
        <is>
          <t>шт</t>
        </is>
      </c>
      <c r="D39" s="9" t="n">
        <v>4</v>
      </c>
      <c r="E39" s="4" t="n">
        <v>260000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гаражные секционные утеплённые с автоматикой (двойные боксы 004, 009) 5,5×2,6 м</t>
        </is>
      </c>
      <c r="C40" s="2" t="inlineStr">
        <is>
          <t>шт</t>
        </is>
      </c>
      <c r="D40" s="9" t="n">
        <v>2</v>
      </c>
      <c r="E40" s="4" t="n">
        <v>380000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широкие, с приводом</t>
        </is>
      </c>
    </row>
    <row r="41">
      <c r="A41" s="2" t="inlineStr">
        <is>
          <t>08 Окна, витражи, ворота</t>
        </is>
      </c>
      <c r="B41" s="2" t="inlineStr">
        <is>
          <t>Ворота эллинга подъёмно-секционные (два катера на прицепах) 5,5×3,6 м</t>
        </is>
      </c>
      <c r="C41" s="2" t="inlineStr">
        <is>
          <t>шт</t>
        </is>
      </c>
      <c r="D41" s="9" t="n">
        <v>1</v>
      </c>
      <c r="E41" s="4" t="n">
        <v>700000</v>
      </c>
      <c r="F41" s="4">
        <f>H41*0.85</f>
        <v/>
      </c>
      <c r="G41" s="4">
        <f>H41-F41</f>
        <v/>
      </c>
      <c r="H41" s="4">
        <f>D41*E41</f>
        <v/>
      </c>
      <c r="I41" s="2" t="inlineStr">
        <is>
          <t>нестандарт, усиленный привод</t>
        </is>
      </c>
    </row>
    <row r="42">
      <c r="A42" s="2" t="inlineStr">
        <is>
          <t>08 Окна, витражи, ворота</t>
        </is>
      </c>
      <c r="B42" s="2" t="inlineStr">
        <is>
          <t>Двери наружные металлические утеплённые</t>
        </is>
      </c>
      <c r="C42" s="2" t="inlineStr">
        <is>
          <t>шт</t>
        </is>
      </c>
      <c r="D42" s="9" t="n">
        <v>6</v>
      </c>
      <c r="E42" s="4" t="n">
        <v>75000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08 Окна, витражи, ворота</t>
        </is>
      </c>
      <c r="B43" s="2" t="inlineStr">
        <is>
          <t>Входная группа КПП (алюминий, домофон, доводчик)</t>
        </is>
      </c>
      <c r="C43" s="2" t="inlineStr">
        <is>
          <t>компл</t>
        </is>
      </c>
      <c r="D43" s="9" t="n">
        <v>1</v>
      </c>
      <c r="E43" s="4" t="n">
        <v>350000</v>
      </c>
      <c r="F43" s="4">
        <f>H43*0.8</f>
        <v/>
      </c>
      <c r="G43" s="4">
        <f>H43-F43</f>
        <v/>
      </c>
      <c r="H43" s="4">
        <f>D43*E43</f>
        <v/>
      </c>
      <c r="I43" s="2" t="inlineStr">
        <is>
          <t>рынок МО</t>
        </is>
      </c>
    </row>
    <row r="44">
      <c r="A44" s="2" t="inlineStr">
        <is>
          <t>09 Наружные МК</t>
        </is>
      </c>
      <c r="B44" s="2" t="inlineStr">
        <is>
          <t>Наружная эвакуационная лестница 3-го типа со 2 этажа</t>
        </is>
      </c>
      <c r="C44" s="2" t="inlineStr">
        <is>
          <t>компл</t>
        </is>
      </c>
      <c r="D44" s="9" t="n">
        <v>1</v>
      </c>
      <c r="E44" s="4" t="n">
        <v>950000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второй эвакуационный выход Ф1.2</t>
        </is>
      </c>
    </row>
    <row r="45">
      <c r="A45" s="2" t="inlineStr">
        <is>
          <t>09 Наружные МК</t>
        </is>
      </c>
      <c r="B45" s="2" t="inlineStr">
        <is>
          <t>Навесы, козырьки, ограждения перехода и наружной лестницы</t>
        </is>
      </c>
      <c r="C45" s="2" t="inlineStr">
        <is>
          <t>компл</t>
        </is>
      </c>
      <c r="D45" s="9" t="n">
        <v>1</v>
      </c>
      <c r="E45" s="4" t="n">
        <v>1800000</v>
      </c>
      <c r="F45" s="4">
        <f>H45*0.7</f>
        <v/>
      </c>
      <c r="G45" s="4">
        <f>H45-F45</f>
        <v/>
      </c>
      <c r="H45" s="4">
        <f>D45*E45</f>
        <v/>
      </c>
      <c r="I45" s="2" t="inlineStr">
        <is>
          <t>без спецификации — по ведомости архитектора</t>
        </is>
      </c>
    </row>
    <row r="46">
      <c r="A46" s="2" t="inlineStr">
        <is>
          <t>10 Отделка черновая</t>
        </is>
      </c>
      <c r="B46" s="2" t="inlineStr">
        <is>
          <t>Техзона: упрочнённый пол (топпинг), обеспыливание стен и потолков, покраска</t>
        </is>
      </c>
      <c r="C46" s="2" t="inlineStr">
        <is>
          <t>м²</t>
        </is>
      </c>
      <c r="D46" s="9" t="n">
        <v>382.32</v>
      </c>
      <c r="E46" s="4" t="n">
        <v>11400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A — единая ставка ЭП-сметы</t>
        </is>
      </c>
    </row>
    <row r="47">
      <c r="A47" s="2" t="inlineStr">
        <is>
          <t>10 Отделка черновая</t>
        </is>
      </c>
      <c r="B47" s="2" t="inlineStr">
        <is>
          <t>Служебные, проживание, МОП: стяжка, штукатурка, ГКЛ, подготовка</t>
        </is>
      </c>
      <c r="C47" s="2" t="inlineStr">
        <is>
          <t>м²</t>
        </is>
      </c>
      <c r="D47" s="9" t="n">
        <v>459.96</v>
      </c>
      <c r="E47" s="4" t="n">
        <v>11400</v>
      </c>
      <c r="F47" s="4">
        <f>H47*0.45</f>
        <v/>
      </c>
      <c r="G47" s="4">
        <f>H47-F47</f>
        <v/>
      </c>
      <c r="H47" s="4">
        <f>D47*E47</f>
        <v/>
      </c>
      <c r="I47" s="2" t="inlineStr">
        <is>
          <t>рынок 8–14 тыс.</t>
        </is>
      </c>
    </row>
    <row r="48">
      <c r="A48" s="2" t="inlineStr">
        <is>
          <t>10 Отделка черновая</t>
        </is>
      </c>
      <c r="B48" s="2" t="inlineStr">
        <is>
          <t>Спортзал: стяжка с виброразвязкой, акустическая подготовка</t>
        </is>
      </c>
      <c r="C48" s="2" t="inlineStr">
        <is>
          <t>м²</t>
        </is>
      </c>
      <c r="D48" s="9" t="n">
        <v>114.48</v>
      </c>
      <c r="E48" s="4" t="n">
        <v>11400</v>
      </c>
      <c r="F48" s="4">
        <f>H48*0.5</f>
        <v/>
      </c>
      <c r="G48" s="4">
        <f>H48-F48</f>
        <v/>
      </c>
      <c r="H48" s="4">
        <f>D48*E48</f>
        <v/>
      </c>
      <c r="I48" s="2" t="inlineStr">
        <is>
          <t>свободные веса</t>
        </is>
      </c>
    </row>
    <row r="49">
      <c r="A49" s="2" t="inlineStr">
        <is>
          <t>11 Отделка чистовая</t>
        </is>
      </c>
      <c r="B49" s="2" t="inlineStr">
        <is>
          <t>Техзона: разметка, отбойники, полимерные полы в эллинге и котельной</t>
        </is>
      </c>
      <c r="C49" s="2" t="inlineStr">
        <is>
          <t>м²</t>
        </is>
      </c>
      <c r="D49" s="9" t="n">
        <v>382.32</v>
      </c>
      <c r="E49" s="4" t="n">
        <v>23850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A — единая ставка ЭП</t>
        </is>
      </c>
    </row>
    <row r="50">
      <c r="A50" s="2" t="inlineStr">
        <is>
          <t>11 Отделка чистовая</t>
        </is>
      </c>
      <c r="B50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50" s="2" t="inlineStr">
        <is>
          <t>м²</t>
        </is>
      </c>
      <c r="D50" s="9" t="n">
        <v>459.96</v>
      </c>
      <c r="E50" s="4" t="n">
        <v>23850</v>
      </c>
      <c r="F50" s="4">
        <f>H50*0.6</f>
        <v/>
      </c>
      <c r="G50" s="4">
        <f>H50-F50</f>
        <v/>
      </c>
      <c r="H50" s="4">
        <f>D50*E50</f>
        <v/>
      </c>
      <c r="I50" s="2" t="inlineStr">
        <is>
          <t>минимальный стандарт — решение 05.10; C — shell &amp; core</t>
        </is>
      </c>
    </row>
    <row r="51">
      <c r="A51" s="2" t="inlineStr">
        <is>
          <t>11 Отделка чистовая</t>
        </is>
      </c>
      <c r="B51" s="2" t="inlineStr">
        <is>
          <t>Спортзал: спортивное покрытие, акустика, зеркала, раздевалка</t>
        </is>
      </c>
      <c r="C51" s="2" t="inlineStr">
        <is>
          <t>м²</t>
        </is>
      </c>
      <c r="D51" s="9" t="n">
        <v>114.48</v>
      </c>
      <c r="E51" s="4" t="n">
        <v>23850</v>
      </c>
      <c r="F51" s="4">
        <f>H51*0.65</f>
        <v/>
      </c>
      <c r="G51" s="4">
        <f>H51-F51</f>
        <v/>
      </c>
      <c r="H51" s="4">
        <f>D51*E51</f>
        <v/>
      </c>
      <c r="I51" s="2" t="inlineStr">
        <is>
          <t>по ТЗ интересантов, без лимита</t>
        </is>
      </c>
    </row>
    <row r="52">
      <c r="A52" s="2" t="inlineStr">
        <is>
          <t>11 Отделка чистовая</t>
        </is>
      </c>
      <c r="B52" s="2" t="inlineStr">
        <is>
          <t>Внутренние ограждения, поручни, техметаллоизделия</t>
        </is>
      </c>
      <c r="C52" s="2" t="inlineStr">
        <is>
          <t>компл</t>
        </is>
      </c>
      <c r="D52" s="9" t="n">
        <v>1</v>
      </c>
      <c r="E52" s="4" t="n">
        <v>2000000</v>
      </c>
      <c r="F52" s="4">
        <f>H52*0.7</f>
        <v/>
      </c>
      <c r="G52" s="4">
        <f>H52-F52</f>
        <v/>
      </c>
      <c r="H52" s="4">
        <f>D52*E52</f>
        <v/>
      </c>
      <c r="I52" s="2" t="inlineStr">
        <is>
          <t>рынок МО</t>
        </is>
      </c>
    </row>
    <row r="53">
      <c r="A53" s="2" t="inlineStr">
        <is>
          <t>12 Отопление (ОВ)</t>
        </is>
      </c>
      <c r="B53" s="2" t="inlineStr">
        <is>
          <t>Котельная: пеллетный котёл 60 кВт + бункер, электрокотёл 24 кВт, буфер 1 000 л, обвязка, автоматика (Qрасч ≈ 62 кВт)</t>
        </is>
      </c>
      <c r="C53" s="2" t="inlineStr">
        <is>
          <t>компл</t>
        </is>
      </c>
      <c r="D53" s="9" t="n">
        <v>1</v>
      </c>
      <c r="E53" s="4" t="n">
        <v>2600000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аналог 291-ОВ «Ромарио»</t>
        </is>
      </c>
    </row>
    <row r="54">
      <c r="A54" s="2" t="inlineStr">
        <is>
          <t>12 Отопление (ОВ)</t>
        </is>
      </c>
      <c r="B54" s="2" t="inlineStr">
        <is>
          <t>Дымоход нержавеющий утеплённый Ø200, h ≈ 11 м</t>
        </is>
      </c>
      <c r="C54" s="2" t="inlineStr">
        <is>
          <t>компл</t>
        </is>
      </c>
      <c r="D54" s="9" t="n">
        <v>1</v>
      </c>
      <c r="E54" s="4" t="n">
        <v>280000</v>
      </c>
      <c r="F54" s="4">
        <f>H54*0.75</f>
        <v/>
      </c>
      <c r="G54" s="4">
        <f>H54-F54</f>
        <v/>
      </c>
      <c r="H54" s="4">
        <f>D54*E54</f>
        <v/>
      </c>
      <c r="I54" s="2" t="inlineStr">
        <is>
          <t>рынок</t>
        </is>
      </c>
    </row>
    <row r="55">
      <c r="A55" s="2" t="inlineStr">
        <is>
          <t>12 Отопление (ОВ)</t>
        </is>
      </c>
      <c r="B55" s="2" t="inlineStr">
        <is>
          <t>Тёплые полы водяные: проживание, МОП, спортзал</t>
        </is>
      </c>
      <c r="C55" s="2" t="inlineStr">
        <is>
          <t>м²</t>
        </is>
      </c>
      <c r="D55" s="9" t="n">
        <v>514.4400000000001</v>
      </c>
      <c r="E55" s="4" t="n">
        <v>2600</v>
      </c>
      <c r="F55" s="4">
        <f>H55*0.5</f>
        <v/>
      </c>
      <c r="G55" s="4">
        <f>H55-F55</f>
        <v/>
      </c>
      <c r="H55" s="4">
        <f>D55*E55</f>
        <v/>
      </c>
      <c r="I55" s="2" t="inlineStr">
        <is>
          <t>рынок МО</t>
        </is>
      </c>
    </row>
    <row r="56">
      <c r="A56" s="2" t="inlineStr">
        <is>
          <t>12 Отопление (ОВ)</t>
        </is>
      </c>
      <c r="B56" s="2" t="inlineStr">
        <is>
          <t>Конвекторы внутрипольные у витражей, радиаторы в с/у и КПП</t>
        </is>
      </c>
      <c r="C56" s="2" t="inlineStr">
        <is>
          <t>шт</t>
        </is>
      </c>
      <c r="D56" s="9" t="n">
        <v>28</v>
      </c>
      <c r="E56" s="4" t="n">
        <v>45000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рынок</t>
        </is>
      </c>
    </row>
    <row r="57">
      <c r="A57" s="2" t="inlineStr">
        <is>
          <t>12 Отопление (ОВ)</t>
        </is>
      </c>
      <c r="B57" s="2" t="inlineStr">
        <is>
          <t>Воздушно-отопительные агрегаты гаражей и эллинга (+5 °C)</t>
        </is>
      </c>
      <c r="C57" s="2" t="inlineStr">
        <is>
          <t>шт</t>
        </is>
      </c>
      <c r="D57" s="9" t="n">
        <v>6</v>
      </c>
      <c r="E57" s="4" t="n">
        <v>110000</v>
      </c>
      <c r="F57" s="4">
        <f>H57*0.75</f>
        <v/>
      </c>
      <c r="G57" s="4">
        <f>H57-F57</f>
        <v/>
      </c>
      <c r="H57" s="4">
        <f>D57*E57</f>
        <v/>
      </c>
      <c r="I57" s="2" t="inlineStr">
        <is>
          <t>Volcano/аналог</t>
        </is>
      </c>
    </row>
    <row r="58">
      <c r="A58" s="2" t="inlineStr">
        <is>
          <t>12 Отопление (ОВ)</t>
        </is>
      </c>
      <c r="B58" s="2" t="inlineStr">
        <is>
          <t>Магистрали, коллекторы, изоляция, ПНР</t>
        </is>
      </c>
      <c r="C58" s="2" t="inlineStr">
        <is>
          <t>компл</t>
        </is>
      </c>
      <c r="D58" s="9" t="n">
        <v>1</v>
      </c>
      <c r="E58" s="4" t="n">
        <v>1100000</v>
      </c>
      <c r="F58" s="4">
        <f>H58*0.55</f>
        <v/>
      </c>
      <c r="G58" s="4">
        <f>H58-F58</f>
        <v/>
      </c>
      <c r="H58" s="4">
        <f>D58*E58</f>
        <v/>
      </c>
      <c r="I58" s="2" t="inlineStr">
        <is>
          <t>рынок</t>
        </is>
      </c>
    </row>
    <row r="59">
      <c r="A59" s="2" t="inlineStr">
        <is>
          <t>13 Водоснабжение и канализация (ВК)</t>
        </is>
      </c>
      <c r="B59" s="2" t="inlineStr">
        <is>
          <t>Узел ввода, учёт, фильтрация/умягчение</t>
        </is>
      </c>
      <c r="C59" s="2" t="inlineStr">
        <is>
          <t>компл</t>
        </is>
      </c>
      <c r="D59" s="9" t="n">
        <v>1</v>
      </c>
      <c r="E59" s="4" t="n">
        <v>450000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посёлковая сеть</t>
        </is>
      </c>
    </row>
    <row r="60">
      <c r="A60" s="2" t="inlineStr">
        <is>
          <t>13 Водоснабжение и канализация (ВК)</t>
        </is>
      </c>
      <c r="B60" s="2" t="inlineStr">
        <is>
          <t>Бойлер косвенного нагрева 500 л + рециркуляция ГВС</t>
        </is>
      </c>
      <c r="C60" s="2" t="inlineStr">
        <is>
          <t>компл</t>
        </is>
      </c>
      <c r="D60" s="9" t="n">
        <v>1</v>
      </c>
      <c r="E60" s="4" t="n">
        <v>380000</v>
      </c>
      <c r="F60" s="4">
        <f>H60*0.75</f>
        <v/>
      </c>
      <c r="G60" s="4">
        <f>H60-F60</f>
        <v/>
      </c>
      <c r="H60" s="4">
        <f>D60*E60</f>
        <v/>
      </c>
      <c r="I60" s="2" t="inlineStr">
        <is>
          <t>рынок</t>
        </is>
      </c>
    </row>
    <row r="61">
      <c r="A61" s="2" t="inlineStr">
        <is>
          <t>13 Водоснабжение и канализация (ВК)</t>
        </is>
      </c>
      <c r="B61" s="2" t="inlineStr">
        <is>
          <t>Внутренние сети В1/Т3/Т4/К1 с изоляцией</t>
        </is>
      </c>
      <c r="C61" s="2" t="inlineStr">
        <is>
          <t>м²</t>
        </is>
      </c>
      <c r="D61" s="9" t="n">
        <v>956.76</v>
      </c>
      <c r="E61" s="4" t="n">
        <v>1300</v>
      </c>
      <c r="F61" s="4">
        <f>H61*0.5</f>
        <v/>
      </c>
      <c r="G61" s="4">
        <f>H61-F61</f>
        <v/>
      </c>
      <c r="H61" s="4">
        <f>D61*E61</f>
        <v/>
      </c>
      <c r="I61" s="2" t="inlineStr">
        <is>
          <t>рынок МО</t>
        </is>
      </c>
    </row>
    <row r="62">
      <c r="A62" s="2" t="inlineStr">
        <is>
          <t>13 Водоснабжение и канализация (ВК)</t>
        </is>
      </c>
      <c r="B62" s="2" t="inlineStr">
        <is>
          <t>Санузлы: унитаз, раковина, душ/поддон, смесители — 10 шт.</t>
        </is>
      </c>
      <c r="C62" s="2" t="inlineStr">
        <is>
          <t>шт</t>
        </is>
      </c>
      <c r="D62" s="9" t="n">
        <v>10</v>
      </c>
      <c r="E62" s="4" t="n">
        <v>160000</v>
      </c>
      <c r="F62" s="4">
        <f>H62*0.7</f>
        <v/>
      </c>
      <c r="G62" s="4">
        <f>H62-F62</f>
        <v/>
      </c>
      <c r="H62" s="4">
        <f>D62*E62</f>
        <v/>
      </c>
      <c r="I62" s="2" t="inlineStr">
        <is>
          <t>C — только КПП и раздевалка, прочие — точки подключения</t>
        </is>
      </c>
    </row>
    <row r="63">
      <c r="A63" s="2" t="inlineStr">
        <is>
          <t>13 Водоснабжение и канализация (ВК)</t>
        </is>
      </c>
      <c r="B63" s="2" t="inlineStr">
        <is>
          <t>Трапы и лотки гаражей/эллинга, бензомаслоуловитель (ЛОС) 1 л/с</t>
        </is>
      </c>
      <c r="C63" s="2" t="inlineStr">
        <is>
          <t>компл</t>
        </is>
      </c>
      <c r="D63" s="9" t="n">
        <v>1</v>
      </c>
      <c r="E63" s="4" t="n">
        <v>650000</v>
      </c>
      <c r="F63" s="4">
        <f>H63*0.75</f>
        <v/>
      </c>
      <c r="G63" s="4">
        <f>H63-F63</f>
        <v/>
      </c>
      <c r="H63" s="4">
        <f>D63*E63</f>
        <v/>
      </c>
      <c r="I63" s="2" t="inlineStr">
        <is>
          <t>ВОЗ — обязательно</t>
        </is>
      </c>
    </row>
    <row r="64">
      <c r="A64" s="2" t="inlineStr">
        <is>
          <t>13 Водоснабжение и канализация (ВК)</t>
        </is>
      </c>
      <c r="B64" s="2" t="inlineStr">
        <is>
          <t>Кухня столовой, прачечная: подключение оборудования</t>
        </is>
      </c>
      <c r="C64" s="2" t="inlineStr">
        <is>
          <t>компл</t>
        </is>
      </c>
      <c r="D64" s="9" t="n">
        <v>1</v>
      </c>
      <c r="E64" s="4" t="n">
        <v>250000</v>
      </c>
      <c r="F64" s="4">
        <f>H64*0.5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П1/В1 проживание 1 300 м³/ч с рекуператором, воздуховоды, распределители</t>
        </is>
      </c>
      <c r="C65" s="2" t="inlineStr">
        <is>
          <t>компл</t>
        </is>
      </c>
      <c r="D65" s="9" t="n">
        <v>1</v>
      </c>
      <c r="E65" s="4" t="n">
        <v>2600000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рынок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П2/В2 спортзал 1 200 м³/ч с рекуператором и охладителем</t>
        </is>
      </c>
      <c r="C66" s="2" t="inlineStr">
        <is>
          <t>компл</t>
        </is>
      </c>
      <c r="D66" s="9" t="n">
        <v>1</v>
      </c>
      <c r="E66" s="4" t="n">
        <v>1900000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по ТЗ спортзала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В3 гаражи и эллинг: вытяжка по датчикам CO/паров, клапаны</t>
        </is>
      </c>
      <c r="C67" s="2" t="inlineStr">
        <is>
          <t>компл</t>
        </is>
      </c>
      <c r="D67" s="9" t="n">
        <v>1</v>
      </c>
      <c r="E67" s="4" t="n">
        <v>900000</v>
      </c>
      <c r="F67" s="4">
        <f>H67*0.7</f>
        <v/>
      </c>
      <c r="G67" s="4">
        <f>H67-F67</f>
        <v/>
      </c>
      <c r="H67" s="4">
        <f>D67*E67</f>
        <v/>
      </c>
      <c r="I67" s="2" t="inlineStr">
        <is>
          <t>без приточки</t>
        </is>
      </c>
    </row>
    <row r="68">
      <c r="A68" s="2" t="inlineStr">
        <is>
          <t>14 Вентиляция и кондиционирование (ОВК)</t>
        </is>
      </c>
      <c r="B68" s="2" t="inlineStr">
        <is>
          <t>Кондиционирование: мини-VRF 22 кВт — спортзал, столовая, КПП, охрана</t>
        </is>
      </c>
      <c r="C68" s="2" t="inlineStr">
        <is>
          <t>компл</t>
        </is>
      </c>
      <c r="D68" s="9" t="n">
        <v>1</v>
      </c>
      <c r="E68" s="4" t="n">
        <v>3500000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A — «условно» ЭП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ВРУ/ГРЩ 100 А в электрощитовой 013, учёт, АВР на генератор, щиты этажные</t>
        </is>
      </c>
      <c r="C69" s="2" t="inlineStr">
        <is>
          <t>компл</t>
        </is>
      </c>
      <c r="D69" s="9" t="n">
        <v>1</v>
      </c>
      <c r="E69" s="4" t="n">
        <v>900000</v>
      </c>
      <c r="F69" s="4">
        <f>H69*0.75</f>
        <v/>
      </c>
      <c r="G69" s="4">
        <f>H69-F69</f>
        <v/>
      </c>
      <c r="H69" s="4">
        <f>D69*E69</f>
        <v/>
      </c>
      <c r="I69" s="2" t="inlineStr">
        <is>
          <t>Pр ≈ 60 кВт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Кабельные сети, розетки, выключатели, освещение (светильники служебного стандарта)</t>
        </is>
      </c>
      <c r="C70" s="2" t="inlineStr">
        <is>
          <t>м²</t>
        </is>
      </c>
      <c r="D70" s="9" t="n">
        <v>956.76</v>
      </c>
      <c r="E70" s="4" t="n">
        <v>4300</v>
      </c>
      <c r="F70" s="4">
        <f>H70*0.55</f>
        <v/>
      </c>
      <c r="G70" s="4">
        <f>H70-F70</f>
        <v/>
      </c>
      <c r="H70" s="4">
        <f>D70*E70</f>
        <v/>
      </c>
      <c r="I70" s="2" t="inlineStr">
        <is>
          <t>A — 6,0 млн ЭП-сметы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Освещение спортзала и фасадов (архитектурное, к воде)</t>
        </is>
      </c>
      <c r="C71" s="2" t="inlineStr">
        <is>
          <t>компл</t>
        </is>
      </c>
      <c r="D71" s="9" t="n">
        <v>1</v>
      </c>
      <c r="E71" s="4" t="n">
        <v>900000</v>
      </c>
      <c r="F71" s="4">
        <f>H71*0.75</f>
        <v/>
      </c>
      <c r="G71" s="4">
        <f>H71-F71</f>
        <v/>
      </c>
      <c r="H71" s="4">
        <f>D71*E71</f>
        <v/>
      </c>
      <c r="I71" s="2" t="inlineStr">
        <is>
          <t>рынок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Зарядные станции 7,4 кВт с управлением нагрузкой</t>
        </is>
      </c>
      <c r="C72" s="2" t="inlineStr">
        <is>
          <t>шт</t>
        </is>
      </c>
      <c r="D72" s="9" t="n">
        <v>4</v>
      </c>
      <c r="E72" s="4" t="n">
        <v>140000</v>
      </c>
      <c r="F72" s="4">
        <f>H72*0.8</f>
        <v/>
      </c>
      <c r="G72" s="4">
        <f>H72-F72</f>
        <v/>
      </c>
      <c r="H72" s="4">
        <f>D72*E72</f>
        <v/>
      </c>
      <c r="I72" s="2" t="inlineStr">
        <is>
          <t>C — только кабельные трассы</t>
        </is>
      </c>
    </row>
    <row r="73">
      <c r="A73" s="2" t="inlineStr">
        <is>
          <t>15 Электроснабжение и освещение (ЭОМ)</t>
        </is>
      </c>
      <c r="B73" s="2" t="inlineStr">
        <is>
          <t>Молниезащита, заземление, уравнивание потенциалов</t>
        </is>
      </c>
      <c r="C73" s="2" t="inlineStr">
        <is>
          <t>компл</t>
        </is>
      </c>
      <c r="D73" s="9" t="n">
        <v>1</v>
      </c>
      <c r="E73" s="4" t="n">
        <v>500000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аналог 291-МЗ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АПС адресная + СОУЭ 2 типа</t>
        </is>
      </c>
      <c r="C74" s="2" t="inlineStr">
        <is>
          <t>м²</t>
        </is>
      </c>
      <c r="D74" s="9" t="n">
        <v>956.76</v>
      </c>
      <c r="E74" s="4" t="n">
        <v>750</v>
      </c>
      <c r="F74" s="4">
        <f>H74*0.6</f>
        <v/>
      </c>
      <c r="G74" s="4">
        <f>H74-F74</f>
        <v/>
      </c>
      <c r="H74" s="4">
        <f>D74*E74</f>
        <v/>
      </c>
      <c r="I74" s="2" t="inlineStr">
        <is>
          <t>СП 484, 3.13130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Модульное пожаротушение эллинга и котельной (по разделу ПБ)</t>
        </is>
      </c>
      <c r="C75" s="2" t="inlineStr">
        <is>
          <t>компл</t>
        </is>
      </c>
      <c r="D75" s="9" t="n">
        <v>1</v>
      </c>
      <c r="E75" s="4" t="n">
        <v>450000</v>
      </c>
      <c r="F75" s="4">
        <f>H75*0.8</f>
        <v/>
      </c>
      <c r="G75" s="4">
        <f>H75-F75</f>
        <v/>
      </c>
      <c r="H75" s="4">
        <f>D75*E75</f>
        <v/>
      </c>
      <c r="I75" s="2" t="inlineStr">
        <is>
          <t>опция — проверить в ПБ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КПП: СКУД, шлагбаум, распознавание номеров, домофония</t>
        </is>
      </c>
      <c r="C76" s="2" t="inlineStr">
        <is>
          <t>компл</t>
        </is>
      </c>
      <c r="D76" s="9" t="n">
        <v>1</v>
      </c>
      <c r="E76" s="4" t="n">
        <v>900000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въезд посёлка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Видеонаблюдение 16 камер + сервер, охранная сигнализация</t>
        </is>
      </c>
      <c r="C77" s="2" t="inlineStr">
        <is>
          <t>компл</t>
        </is>
      </c>
      <c r="D77" s="9" t="n">
        <v>1</v>
      </c>
      <c r="E77" s="4" t="n">
        <v>900000</v>
      </c>
      <c r="F77" s="4">
        <f>H77*0.75</f>
        <v/>
      </c>
      <c r="G77" s="4">
        <f>H77-F77</f>
        <v/>
      </c>
      <c r="H77" s="4">
        <f>D77*E77</f>
        <v/>
      </c>
      <c r="I77" s="2" t="inlineStr">
        <is>
          <t>рынок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СКС, Wi-Fi, стойка, диспетчеризация инженерии (Home Assistant)</t>
        </is>
      </c>
      <c r="C78" s="2" t="inlineStr">
        <is>
          <t>компл</t>
        </is>
      </c>
      <c r="D78" s="9" t="n">
        <v>1</v>
      </c>
      <c r="E78" s="4" t="n">
        <v>900000</v>
      </c>
      <c r="F78" s="4">
        <f>H78*0.7</f>
        <v/>
      </c>
      <c r="G78" s="4">
        <f>H78-F78</f>
        <v/>
      </c>
      <c r="H78" s="4">
        <f>D78*E78</f>
        <v/>
      </c>
      <c r="I78" s="2" t="inlineStr">
        <is>
          <t>аналог 291-СС</t>
        </is>
      </c>
    </row>
    <row r="79">
      <c r="A79" s="2" t="inlineStr">
        <is>
          <t>16 Слаботочные системы и пожарная безопасность (СС, ПБ)</t>
        </is>
      </c>
      <c r="B79" s="2" t="inlineStr">
        <is>
          <t>Пусконаладка всех инженерных систем</t>
        </is>
      </c>
      <c r="C79" s="2" t="inlineStr">
        <is>
          <t>компл</t>
        </is>
      </c>
      <c r="D79" s="9" t="n">
        <v>1</v>
      </c>
      <c r="E79" s="4" t="n">
        <v>1000000</v>
      </c>
      <c r="F79" s="4">
        <f>H79*0.0</f>
        <v/>
      </c>
      <c r="G79" s="4">
        <f>H79-F79</f>
        <v/>
      </c>
      <c r="H79" s="4">
        <f>D79*E79</f>
        <v/>
      </c>
      <c r="I79" s="2" t="inlineStr">
        <is>
          <t>рынок</t>
        </is>
      </c>
    </row>
    <row r="80">
      <c r="A80" s="6" t="inlineStr"/>
      <c r="B80" s="6" t="inlineStr">
        <is>
          <t>ИТОГО СМР</t>
        </is>
      </c>
      <c r="C80" s="6" t="inlineStr"/>
      <c r="D80" s="10" t="inlineStr"/>
      <c r="E80" s="7" t="inlineStr"/>
      <c r="F80" s="7">
        <f>SUM(F2:F79)</f>
        <v/>
      </c>
      <c r="G80" s="7">
        <f>SUM(G2:G79)</f>
        <v/>
      </c>
      <c r="H80" s="7">
        <f>SUM(H2:H79)</f>
        <v/>
      </c>
      <c r="I80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70000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220000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30000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1100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1700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800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82 шт.</t>
        </is>
      </c>
      <c r="C8" s="2" t="inlineStr">
        <is>
          <t>шт</t>
        </is>
      </c>
      <c r="D8" s="9" t="n">
        <v>82</v>
      </c>
      <c r="E8" s="4" t="n">
        <v>31000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300000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513.1900000000001</v>
      </c>
      <c r="E10" s="4" t="n">
        <v>700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590</v>
      </c>
      <c r="E11" s="4" t="n">
        <v>950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1200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</v>
      </c>
      <c r="E13" s="4" t="n">
        <v>25000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513.1900000000001</v>
      </c>
      <c r="E14" s="4" t="n">
        <v>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300000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по ЭП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65000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в ЭП — металл; 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Перекрытие 1 этажа и под плоскую кровлю: монолит ЖБ ребристое, плита 250/200 (A, B) / ПБ + монолитные участки (C)</t>
        </is>
      </c>
      <c r="C17" s="2" t="inlineStr">
        <is>
          <t>м²</t>
        </is>
      </c>
      <c r="D17" s="9" t="n">
        <v>945.59</v>
      </c>
      <c r="E17" s="4" t="n">
        <v>11800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по ЭП 660,5 м² плиты 250 + 285,1 м² плиты 200; монолит 10,5–12,5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945.59</v>
      </c>
      <c r="E18" s="4" t="n">
        <v>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30000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012 с ограждением</t>
        </is>
      </c>
      <c r="C20" s="2" t="inlineStr">
        <is>
          <t>компл</t>
        </is>
      </c>
      <c r="D20" s="9" t="n">
        <v>1</v>
      </c>
      <c r="E20" s="4" t="n">
        <v>600000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D400 400 мм (блок, клей, армирование, кладка)</t>
        </is>
      </c>
      <c r="C21" s="2" t="inlineStr">
        <is>
          <t>м³</t>
        </is>
      </c>
      <c r="D21" s="9" t="n">
        <v>257.56</v>
      </c>
      <c r="E21" s="4" t="n">
        <v>13000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147.21</v>
      </c>
      <c r="E22" s="4" t="n">
        <v>13000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44.25</v>
      </c>
      <c r="E23" s="4" t="n">
        <v>14000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353.6</v>
      </c>
      <c r="E25" s="4" t="n">
        <v>7000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 10°: стропила, ОСП, мембраны, Кликфальц Pro, водосток, снегозадержание</t>
        </is>
      </c>
      <c r="C26" s="2" t="inlineStr">
        <is>
          <t>м²</t>
        </is>
      </c>
      <c r="D26" s="9" t="n">
        <v>448.03</v>
      </c>
      <c r="E26" s="4" t="n">
        <v>11000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 неэксплуатируемая: уклоны, утепление XPS 200, мембрана, примыкания</t>
        </is>
      </c>
      <c r="C27" s="2" t="inlineStr">
        <is>
          <t>м²</t>
        </is>
      </c>
      <c r="D27" s="9" t="n">
        <v>339.91</v>
      </c>
      <c r="E27" s="4" t="n">
        <v>8000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по ЭП — неэксплуатируемая; рынок 7–10 тыс.</t>
        </is>
      </c>
    </row>
    <row r="28">
      <c r="A28" s="2" t="inlineStr">
        <is>
          <t>06 Кровля</t>
        </is>
      </c>
      <c r="B28" s="2" t="inlineStr">
        <is>
          <t>Каркасные стены чердака (фронтоны) 200 мм с фальцем</t>
        </is>
      </c>
      <c r="C28" s="2" t="inlineStr">
        <is>
          <t>м²</t>
        </is>
      </c>
      <c r="D28" s="9" t="n">
        <v>51.72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2400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10500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6300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5500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104</v>
      </c>
      <c r="E35" s="4" t="n">
        <v>8000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104 м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23000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15000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2000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(одинарные боксы) 3,5×2,6 м</t>
        </is>
      </c>
      <c r="C39" s="2" t="inlineStr">
        <is>
          <t>шт</t>
        </is>
      </c>
      <c r="D39" s="9" t="n">
        <v>4</v>
      </c>
      <c r="E39" s="4" t="n">
        <v>220000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гаражные секционные утеплённые с автоматикой (двойные боксы 004, 009) 5,5×2,6 м</t>
        </is>
      </c>
      <c r="C40" s="2" t="inlineStr">
        <is>
          <t>шт</t>
        </is>
      </c>
      <c r="D40" s="9" t="n">
        <v>2</v>
      </c>
      <c r="E40" s="4" t="n">
        <v>330000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широкие, с приводом</t>
        </is>
      </c>
    </row>
    <row r="41">
      <c r="A41" s="2" t="inlineStr">
        <is>
          <t>08 Окна, витражи, ворота</t>
        </is>
      </c>
      <c r="B41" s="2" t="inlineStr">
        <is>
          <t>Ворота эллинга подъёмно-секционные (два катера на прицепах) 5,5×3,6 м</t>
        </is>
      </c>
      <c r="C41" s="2" t="inlineStr">
        <is>
          <t>шт</t>
        </is>
      </c>
      <c r="D41" s="9" t="n">
        <v>1</v>
      </c>
      <c r="E41" s="4" t="n">
        <v>580000</v>
      </c>
      <c r="F41" s="4">
        <f>H41*0.85</f>
        <v/>
      </c>
      <c r="G41" s="4">
        <f>H41-F41</f>
        <v/>
      </c>
      <c r="H41" s="4">
        <f>D41*E41</f>
        <v/>
      </c>
      <c r="I41" s="2" t="inlineStr">
        <is>
          <t>нестандарт, усиленный привод</t>
        </is>
      </c>
    </row>
    <row r="42">
      <c r="A42" s="2" t="inlineStr">
        <is>
          <t>08 Окна, витражи, ворота</t>
        </is>
      </c>
      <c r="B42" s="2" t="inlineStr">
        <is>
          <t>Двери наружные металлические утеплённые</t>
        </is>
      </c>
      <c r="C42" s="2" t="inlineStr">
        <is>
          <t>шт</t>
        </is>
      </c>
      <c r="D42" s="9" t="n">
        <v>6</v>
      </c>
      <c r="E42" s="4" t="n">
        <v>60000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08 Окна, витражи, ворота</t>
        </is>
      </c>
      <c r="B43" s="2" t="inlineStr">
        <is>
          <t>Входная группа КПП (алюминий, домофон, доводчик)</t>
        </is>
      </c>
      <c r="C43" s="2" t="inlineStr">
        <is>
          <t>компл</t>
        </is>
      </c>
      <c r="D43" s="9" t="n">
        <v>1</v>
      </c>
      <c r="E43" s="4" t="n">
        <v>280000</v>
      </c>
      <c r="F43" s="4">
        <f>H43*0.8</f>
        <v/>
      </c>
      <c r="G43" s="4">
        <f>H43-F43</f>
        <v/>
      </c>
      <c r="H43" s="4">
        <f>D43*E43</f>
        <v/>
      </c>
      <c r="I43" s="2" t="inlineStr">
        <is>
          <t>рынок МО</t>
        </is>
      </c>
    </row>
    <row r="44">
      <c r="A44" s="2" t="inlineStr">
        <is>
          <t>09 Наружные МК</t>
        </is>
      </c>
      <c r="B44" s="2" t="inlineStr">
        <is>
          <t>Наружная эвакуационная лестница 3-го типа со 2 этажа</t>
        </is>
      </c>
      <c r="C44" s="2" t="inlineStr">
        <is>
          <t>компл</t>
        </is>
      </c>
      <c r="D44" s="9" t="n">
        <v>1</v>
      </c>
      <c r="E44" s="4" t="n">
        <v>850000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второй эвакуационный выход Ф1.2</t>
        </is>
      </c>
    </row>
    <row r="45">
      <c r="A45" s="2" t="inlineStr">
        <is>
          <t>09 Наружные МК</t>
        </is>
      </c>
      <c r="B45" s="2" t="inlineStr">
        <is>
          <t>Навесы, козырьки, ограждения перехода и наружной лестницы</t>
        </is>
      </c>
      <c r="C45" s="2" t="inlineStr">
        <is>
          <t>компл</t>
        </is>
      </c>
      <c r="D45" s="9" t="n">
        <v>1</v>
      </c>
      <c r="E45" s="4" t="n">
        <v>1200000</v>
      </c>
      <c r="F45" s="4">
        <f>H45*0.7</f>
        <v/>
      </c>
      <c r="G45" s="4">
        <f>H45-F45</f>
        <v/>
      </c>
      <c r="H45" s="4">
        <f>D45*E45</f>
        <v/>
      </c>
      <c r="I45" s="2" t="inlineStr">
        <is>
          <t>без спецификации — по ведомости архитектора</t>
        </is>
      </c>
    </row>
    <row r="46">
      <c r="A46" s="2" t="inlineStr">
        <is>
          <t>10 Отделка черновая</t>
        </is>
      </c>
      <c r="B46" s="2" t="inlineStr">
        <is>
          <t>Техзона: упрочнённый пол (топпинг), обеспыливание стен и потолков, покраска</t>
        </is>
      </c>
      <c r="C46" s="2" t="inlineStr">
        <is>
          <t>м²</t>
        </is>
      </c>
      <c r="D46" s="9" t="n">
        <v>382.32</v>
      </c>
      <c r="E46" s="4" t="n">
        <v>3800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A — единая ставка ЭП-сметы</t>
        </is>
      </c>
    </row>
    <row r="47">
      <c r="A47" s="2" t="inlineStr">
        <is>
          <t>10 Отделка черновая</t>
        </is>
      </c>
      <c r="B47" s="2" t="inlineStr">
        <is>
          <t>Служебные, проживание, МОП: стяжка, штукатурка, ГКЛ, подготовка</t>
        </is>
      </c>
      <c r="C47" s="2" t="inlineStr">
        <is>
          <t>м²</t>
        </is>
      </c>
      <c r="D47" s="9" t="n">
        <v>459.96</v>
      </c>
      <c r="E47" s="4" t="n">
        <v>9000</v>
      </c>
      <c r="F47" s="4">
        <f>H47*0.45</f>
        <v/>
      </c>
      <c r="G47" s="4">
        <f>H47-F47</f>
        <v/>
      </c>
      <c r="H47" s="4">
        <f>D47*E47</f>
        <v/>
      </c>
      <c r="I47" s="2" t="inlineStr">
        <is>
          <t>рынок 8–14 тыс.</t>
        </is>
      </c>
    </row>
    <row r="48">
      <c r="A48" s="2" t="inlineStr">
        <is>
          <t>10 Отделка черновая</t>
        </is>
      </c>
      <c r="B48" s="2" t="inlineStr">
        <is>
          <t>Спортзал: стяжка с виброразвязкой, акустическая подготовка</t>
        </is>
      </c>
      <c r="C48" s="2" t="inlineStr">
        <is>
          <t>м²</t>
        </is>
      </c>
      <c r="D48" s="9" t="n">
        <v>114.48</v>
      </c>
      <c r="E48" s="4" t="n">
        <v>13000</v>
      </c>
      <c r="F48" s="4">
        <f>H48*0.5</f>
        <v/>
      </c>
      <c r="G48" s="4">
        <f>H48-F48</f>
        <v/>
      </c>
      <c r="H48" s="4">
        <f>D48*E48</f>
        <v/>
      </c>
      <c r="I48" s="2" t="inlineStr">
        <is>
          <t>свободные веса</t>
        </is>
      </c>
    </row>
    <row r="49">
      <c r="A49" s="2" t="inlineStr">
        <is>
          <t>11 Отделка чистовая</t>
        </is>
      </c>
      <c r="B49" s="2" t="inlineStr">
        <is>
          <t>Техзона: разметка, отбойники, полимерные полы в эллинге и котельной</t>
        </is>
      </c>
      <c r="C49" s="2" t="inlineStr">
        <is>
          <t>м²</t>
        </is>
      </c>
      <c r="D49" s="9" t="n">
        <v>382.32</v>
      </c>
      <c r="E49" s="4" t="n">
        <v>2500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A — единая ставка ЭП</t>
        </is>
      </c>
    </row>
    <row r="50">
      <c r="A50" s="2" t="inlineStr">
        <is>
          <t>11 Отделка чистовая</t>
        </is>
      </c>
      <c r="B50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50" s="2" t="inlineStr">
        <is>
          <t>м²</t>
        </is>
      </c>
      <c r="D50" s="9" t="n">
        <v>459.96</v>
      </c>
      <c r="E50" s="4" t="n">
        <v>14000</v>
      </c>
      <c r="F50" s="4">
        <f>H50*0.6</f>
        <v/>
      </c>
      <c r="G50" s="4">
        <f>H50-F50</f>
        <v/>
      </c>
      <c r="H50" s="4">
        <f>D50*E50</f>
        <v/>
      </c>
      <c r="I50" s="2" t="inlineStr">
        <is>
          <t>минимальный стандарт — решение 05.10; C — shell &amp; core</t>
        </is>
      </c>
    </row>
    <row r="51">
      <c r="A51" s="2" t="inlineStr">
        <is>
          <t>11 Отделка чистовая</t>
        </is>
      </c>
      <c r="B51" s="2" t="inlineStr">
        <is>
          <t>Спортзал: спортивное покрытие, акустика, зеркала, раздевалка</t>
        </is>
      </c>
      <c r="C51" s="2" t="inlineStr">
        <is>
          <t>м²</t>
        </is>
      </c>
      <c r="D51" s="9" t="n">
        <v>114.48</v>
      </c>
      <c r="E51" s="4" t="n">
        <v>32000</v>
      </c>
      <c r="F51" s="4">
        <f>H51*0.65</f>
        <v/>
      </c>
      <c r="G51" s="4">
        <f>H51-F51</f>
        <v/>
      </c>
      <c r="H51" s="4">
        <f>D51*E51</f>
        <v/>
      </c>
      <c r="I51" s="2" t="inlineStr">
        <is>
          <t>по ТЗ интересантов, без лимита</t>
        </is>
      </c>
    </row>
    <row r="52">
      <c r="A52" s="2" t="inlineStr">
        <is>
          <t>11 Отделка чистовая</t>
        </is>
      </c>
      <c r="B52" s="2" t="inlineStr">
        <is>
          <t>Внутренние ограждения, поручни, техметаллоизделия</t>
        </is>
      </c>
      <c r="C52" s="2" t="inlineStr">
        <is>
          <t>компл</t>
        </is>
      </c>
      <c r="D52" s="9" t="n">
        <v>1</v>
      </c>
      <c r="E52" s="4" t="n">
        <v>1200000</v>
      </c>
      <c r="F52" s="4">
        <f>H52*0.7</f>
        <v/>
      </c>
      <c r="G52" s="4">
        <f>H52-F52</f>
        <v/>
      </c>
      <c r="H52" s="4">
        <f>D52*E52</f>
        <v/>
      </c>
      <c r="I52" s="2" t="inlineStr">
        <is>
          <t>рынок МО</t>
        </is>
      </c>
    </row>
    <row r="53">
      <c r="A53" s="2" t="inlineStr">
        <is>
          <t>12 Отопление (ОВ)</t>
        </is>
      </c>
      <c r="B53" s="2" t="inlineStr">
        <is>
          <t>Котельная: пеллетный котёл 60 кВт + бункер, электрокотёл 24 кВт, буфер 1 000 л, обвязка, автоматика (Qрасч ≈ 62 кВт)</t>
        </is>
      </c>
      <c r="C53" s="2" t="inlineStr">
        <is>
          <t>компл</t>
        </is>
      </c>
      <c r="D53" s="9" t="n">
        <v>1</v>
      </c>
      <c r="E53" s="4" t="n">
        <v>2300000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аналог 291-ОВ «Ромарио»</t>
        </is>
      </c>
    </row>
    <row r="54">
      <c r="A54" s="2" t="inlineStr">
        <is>
          <t>12 Отопление (ОВ)</t>
        </is>
      </c>
      <c r="B54" s="2" t="inlineStr">
        <is>
          <t>Дымоход нержавеющий утеплённый Ø200, h ≈ 11 м</t>
        </is>
      </c>
      <c r="C54" s="2" t="inlineStr">
        <is>
          <t>компл</t>
        </is>
      </c>
      <c r="D54" s="9" t="n">
        <v>1</v>
      </c>
      <c r="E54" s="4" t="n">
        <v>250000</v>
      </c>
      <c r="F54" s="4">
        <f>H54*0.75</f>
        <v/>
      </c>
      <c r="G54" s="4">
        <f>H54-F54</f>
        <v/>
      </c>
      <c r="H54" s="4">
        <f>D54*E54</f>
        <v/>
      </c>
      <c r="I54" s="2" t="inlineStr">
        <is>
          <t>рынок</t>
        </is>
      </c>
    </row>
    <row r="55">
      <c r="A55" s="2" t="inlineStr">
        <is>
          <t>12 Отопление (ОВ)</t>
        </is>
      </c>
      <c r="B55" s="2" t="inlineStr">
        <is>
          <t>Тёплые полы водяные: проживание, МОП, спортзал</t>
        </is>
      </c>
      <c r="C55" s="2" t="inlineStr">
        <is>
          <t>м²</t>
        </is>
      </c>
      <c r="D55" s="9" t="n">
        <v>514.4400000000001</v>
      </c>
      <c r="E55" s="4" t="n">
        <v>2300</v>
      </c>
      <c r="F55" s="4">
        <f>H55*0.5</f>
        <v/>
      </c>
      <c r="G55" s="4">
        <f>H55-F55</f>
        <v/>
      </c>
      <c r="H55" s="4">
        <f>D55*E55</f>
        <v/>
      </c>
      <c r="I55" s="2" t="inlineStr">
        <is>
          <t>рынок МО</t>
        </is>
      </c>
    </row>
    <row r="56">
      <c r="A56" s="2" t="inlineStr">
        <is>
          <t>12 Отопление (ОВ)</t>
        </is>
      </c>
      <c r="B56" s="2" t="inlineStr">
        <is>
          <t>Конвекторы внутрипольные у витражей, радиаторы в с/у и КПП</t>
        </is>
      </c>
      <c r="C56" s="2" t="inlineStr">
        <is>
          <t>шт</t>
        </is>
      </c>
      <c r="D56" s="9" t="n">
        <v>28</v>
      </c>
      <c r="E56" s="4" t="n">
        <v>32000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рынок</t>
        </is>
      </c>
    </row>
    <row r="57">
      <c r="A57" s="2" t="inlineStr">
        <is>
          <t>12 Отопление (ОВ)</t>
        </is>
      </c>
      <c r="B57" s="2" t="inlineStr">
        <is>
          <t>Воздушно-отопительные агрегаты гаражей и эллинга (+5 °C)</t>
        </is>
      </c>
      <c r="C57" s="2" t="inlineStr">
        <is>
          <t>шт</t>
        </is>
      </c>
      <c r="D57" s="9" t="n">
        <v>6</v>
      </c>
      <c r="E57" s="4" t="n">
        <v>95000</v>
      </c>
      <c r="F57" s="4">
        <f>H57*0.75</f>
        <v/>
      </c>
      <c r="G57" s="4">
        <f>H57-F57</f>
        <v/>
      </c>
      <c r="H57" s="4">
        <f>D57*E57</f>
        <v/>
      </c>
      <c r="I57" s="2" t="inlineStr">
        <is>
          <t>Volcano/аналог</t>
        </is>
      </c>
    </row>
    <row r="58">
      <c r="A58" s="2" t="inlineStr">
        <is>
          <t>12 Отопление (ОВ)</t>
        </is>
      </c>
      <c r="B58" s="2" t="inlineStr">
        <is>
          <t>Магистрали, коллекторы, изоляция, ПНР</t>
        </is>
      </c>
      <c r="C58" s="2" t="inlineStr">
        <is>
          <t>компл</t>
        </is>
      </c>
      <c r="D58" s="9" t="n">
        <v>1</v>
      </c>
      <c r="E58" s="4" t="n">
        <v>900000</v>
      </c>
      <c r="F58" s="4">
        <f>H58*0.55</f>
        <v/>
      </c>
      <c r="G58" s="4">
        <f>H58-F58</f>
        <v/>
      </c>
      <c r="H58" s="4">
        <f>D58*E58</f>
        <v/>
      </c>
      <c r="I58" s="2" t="inlineStr">
        <is>
          <t>рынок</t>
        </is>
      </c>
    </row>
    <row r="59">
      <c r="A59" s="2" t="inlineStr">
        <is>
          <t>13 Водоснабжение и канализация (ВК)</t>
        </is>
      </c>
      <c r="B59" s="2" t="inlineStr">
        <is>
          <t>Узел ввода, учёт, фильтрация/умягчение</t>
        </is>
      </c>
      <c r="C59" s="2" t="inlineStr">
        <is>
          <t>компл</t>
        </is>
      </c>
      <c r="D59" s="9" t="n">
        <v>1</v>
      </c>
      <c r="E59" s="4" t="n">
        <v>380000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посёлковая сеть</t>
        </is>
      </c>
    </row>
    <row r="60">
      <c r="A60" s="2" t="inlineStr">
        <is>
          <t>13 Водоснабжение и канализация (ВК)</t>
        </is>
      </c>
      <c r="B60" s="2" t="inlineStr">
        <is>
          <t>Бойлер косвенного нагрева 500 л + рециркуляция ГВС</t>
        </is>
      </c>
      <c r="C60" s="2" t="inlineStr">
        <is>
          <t>компл</t>
        </is>
      </c>
      <c r="D60" s="9" t="n">
        <v>1</v>
      </c>
      <c r="E60" s="4" t="n">
        <v>330000</v>
      </c>
      <c r="F60" s="4">
        <f>H60*0.75</f>
        <v/>
      </c>
      <c r="G60" s="4">
        <f>H60-F60</f>
        <v/>
      </c>
      <c r="H60" s="4">
        <f>D60*E60</f>
        <v/>
      </c>
      <c r="I60" s="2" t="inlineStr">
        <is>
          <t>рынок</t>
        </is>
      </c>
    </row>
    <row r="61">
      <c r="A61" s="2" t="inlineStr">
        <is>
          <t>13 Водоснабжение и канализация (ВК)</t>
        </is>
      </c>
      <c r="B61" s="2" t="inlineStr">
        <is>
          <t>Внутренние сети В1/Т3/Т4/К1 с изоляцией</t>
        </is>
      </c>
      <c r="C61" s="2" t="inlineStr">
        <is>
          <t>м²</t>
        </is>
      </c>
      <c r="D61" s="9" t="n">
        <v>956.76</v>
      </c>
      <c r="E61" s="4" t="n">
        <v>1100</v>
      </c>
      <c r="F61" s="4">
        <f>H61*0.5</f>
        <v/>
      </c>
      <c r="G61" s="4">
        <f>H61-F61</f>
        <v/>
      </c>
      <c r="H61" s="4">
        <f>D61*E61</f>
        <v/>
      </c>
      <c r="I61" s="2" t="inlineStr">
        <is>
          <t>рынок МО</t>
        </is>
      </c>
    </row>
    <row r="62">
      <c r="A62" s="2" t="inlineStr">
        <is>
          <t>13 Водоснабжение и канализация (ВК)</t>
        </is>
      </c>
      <c r="B62" s="2" t="inlineStr">
        <is>
          <t>Санузлы: унитаз, раковина, душ/поддон, смесители — 10 шт.</t>
        </is>
      </c>
      <c r="C62" s="2" t="inlineStr">
        <is>
          <t>шт</t>
        </is>
      </c>
      <c r="D62" s="9" t="n">
        <v>10</v>
      </c>
      <c r="E62" s="4" t="n">
        <v>110000</v>
      </c>
      <c r="F62" s="4">
        <f>H62*0.7</f>
        <v/>
      </c>
      <c r="G62" s="4">
        <f>H62-F62</f>
        <v/>
      </c>
      <c r="H62" s="4">
        <f>D62*E62</f>
        <v/>
      </c>
      <c r="I62" s="2" t="inlineStr">
        <is>
          <t>C — только КПП и раздевалка, прочие — точки подключения</t>
        </is>
      </c>
    </row>
    <row r="63">
      <c r="A63" s="2" t="inlineStr">
        <is>
          <t>13 Водоснабжение и канализация (ВК)</t>
        </is>
      </c>
      <c r="B63" s="2" t="inlineStr">
        <is>
          <t>Трапы и лотки гаражей/эллинга, бензомаслоуловитель (ЛОС) 1 л/с</t>
        </is>
      </c>
      <c r="C63" s="2" t="inlineStr">
        <is>
          <t>компл</t>
        </is>
      </c>
      <c r="D63" s="9" t="n">
        <v>1</v>
      </c>
      <c r="E63" s="4" t="n">
        <v>600000</v>
      </c>
      <c r="F63" s="4">
        <f>H63*0.75</f>
        <v/>
      </c>
      <c r="G63" s="4">
        <f>H63-F63</f>
        <v/>
      </c>
      <c r="H63" s="4">
        <f>D63*E63</f>
        <v/>
      </c>
      <c r="I63" s="2" t="inlineStr">
        <is>
          <t>ВОЗ — обязательно</t>
        </is>
      </c>
    </row>
    <row r="64">
      <c r="A64" s="2" t="inlineStr">
        <is>
          <t>13 Водоснабжение и канализация (ВК)</t>
        </is>
      </c>
      <c r="B64" s="2" t="inlineStr">
        <is>
          <t>Кухня столовой, прачечная: подключение оборудования</t>
        </is>
      </c>
      <c r="C64" s="2" t="inlineStr">
        <is>
          <t>компл</t>
        </is>
      </c>
      <c r="D64" s="9" t="n">
        <v>1</v>
      </c>
      <c r="E64" s="4" t="n">
        <v>200000</v>
      </c>
      <c r="F64" s="4">
        <f>H64*0.5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П1/В1 проживание 1 300 м³/ч с рекуператором, воздуховоды, распределители</t>
        </is>
      </c>
      <c r="C65" s="2" t="inlineStr">
        <is>
          <t>компл</t>
        </is>
      </c>
      <c r="D65" s="9" t="n">
        <v>1</v>
      </c>
      <c r="E65" s="4" t="n">
        <v>2100000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рынок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П2/В2 спортзал 1 200 м³/ч с рекуператором и охладителем</t>
        </is>
      </c>
      <c r="C66" s="2" t="inlineStr">
        <is>
          <t>компл</t>
        </is>
      </c>
      <c r="D66" s="9" t="n">
        <v>1</v>
      </c>
      <c r="E66" s="4" t="n">
        <v>1700000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по ТЗ спортзала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В3 гаражи и эллинг: вытяжка по датчикам CO/паров, клапаны</t>
        </is>
      </c>
      <c r="C67" s="2" t="inlineStr">
        <is>
          <t>компл</t>
        </is>
      </c>
      <c r="D67" s="9" t="n">
        <v>1</v>
      </c>
      <c r="E67" s="4" t="n">
        <v>650000</v>
      </c>
      <c r="F67" s="4">
        <f>H67*0.7</f>
        <v/>
      </c>
      <c r="G67" s="4">
        <f>H67-F67</f>
        <v/>
      </c>
      <c r="H67" s="4">
        <f>D67*E67</f>
        <v/>
      </c>
      <c r="I67" s="2" t="inlineStr">
        <is>
          <t>без приточки</t>
        </is>
      </c>
    </row>
    <row r="68">
      <c r="A68" s="2" t="inlineStr">
        <is>
          <t>14 Вентиляция и кондиционирование (ОВК)</t>
        </is>
      </c>
      <c r="B68" s="2" t="inlineStr">
        <is>
          <t>Кондиционирование: мини-VRF 22 кВт — спортзал, столовая, КПП, охрана</t>
        </is>
      </c>
      <c r="C68" s="2" t="inlineStr">
        <is>
          <t>компл</t>
        </is>
      </c>
      <c r="D68" s="9" t="n">
        <v>1</v>
      </c>
      <c r="E68" s="4" t="n">
        <v>1800000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A — «условно» ЭП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ВРУ/ГРЩ 100 А в электрощитовой 013, учёт, АВР на генератор, щиты этажные</t>
        </is>
      </c>
      <c r="C69" s="2" t="inlineStr">
        <is>
          <t>компл</t>
        </is>
      </c>
      <c r="D69" s="9" t="n">
        <v>1</v>
      </c>
      <c r="E69" s="4" t="n">
        <v>750000</v>
      </c>
      <c r="F69" s="4">
        <f>H69*0.75</f>
        <v/>
      </c>
      <c r="G69" s="4">
        <f>H69-F69</f>
        <v/>
      </c>
      <c r="H69" s="4">
        <f>D69*E69</f>
        <v/>
      </c>
      <c r="I69" s="2" t="inlineStr">
        <is>
          <t>Pр ≈ 60 кВт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Кабельные сети, розетки, выключатели, освещение (светильники служебного стандарта)</t>
        </is>
      </c>
      <c r="C70" s="2" t="inlineStr">
        <is>
          <t>м²</t>
        </is>
      </c>
      <c r="D70" s="9" t="n">
        <v>956.76</v>
      </c>
      <c r="E70" s="4" t="n">
        <v>3300</v>
      </c>
      <c r="F70" s="4">
        <f>H70*0.55</f>
        <v/>
      </c>
      <c r="G70" s="4">
        <f>H70-F70</f>
        <v/>
      </c>
      <c r="H70" s="4">
        <f>D70*E70</f>
        <v/>
      </c>
      <c r="I70" s="2" t="inlineStr">
        <is>
          <t>A — 6,0 млн ЭП-сметы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Освещение спортзала и фасадов (архитектурное, к воде)</t>
        </is>
      </c>
      <c r="C71" s="2" t="inlineStr">
        <is>
          <t>компл</t>
        </is>
      </c>
      <c r="D71" s="9" t="n">
        <v>1</v>
      </c>
      <c r="E71" s="4" t="n">
        <v>700000</v>
      </c>
      <c r="F71" s="4">
        <f>H71*0.75</f>
        <v/>
      </c>
      <c r="G71" s="4">
        <f>H71-F71</f>
        <v/>
      </c>
      <c r="H71" s="4">
        <f>D71*E71</f>
        <v/>
      </c>
      <c r="I71" s="2" t="inlineStr">
        <is>
          <t>рынок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Зарядные станции 7,4 кВт с управлением нагрузкой</t>
        </is>
      </c>
      <c r="C72" s="2" t="inlineStr">
        <is>
          <t>шт</t>
        </is>
      </c>
      <c r="D72" s="9" t="n">
        <v>4</v>
      </c>
      <c r="E72" s="4" t="n">
        <v>120000</v>
      </c>
      <c r="F72" s="4">
        <f>H72*0.8</f>
        <v/>
      </c>
      <c r="G72" s="4">
        <f>H72-F72</f>
        <v/>
      </c>
      <c r="H72" s="4">
        <f>D72*E72</f>
        <v/>
      </c>
      <c r="I72" s="2" t="inlineStr">
        <is>
          <t>C — только кабельные трассы</t>
        </is>
      </c>
    </row>
    <row r="73">
      <c r="A73" s="2" t="inlineStr">
        <is>
          <t>15 Электроснабжение и освещение (ЭОМ)</t>
        </is>
      </c>
      <c r="B73" s="2" t="inlineStr">
        <is>
          <t>Молниезащита, заземление, уравнивание потенциалов</t>
        </is>
      </c>
      <c r="C73" s="2" t="inlineStr">
        <is>
          <t>компл</t>
        </is>
      </c>
      <c r="D73" s="9" t="n">
        <v>1</v>
      </c>
      <c r="E73" s="4" t="n">
        <v>450000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аналог 291-МЗ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АПС адресная + СОУЭ 2 типа</t>
        </is>
      </c>
      <c r="C74" s="2" t="inlineStr">
        <is>
          <t>м²</t>
        </is>
      </c>
      <c r="D74" s="9" t="n">
        <v>956.76</v>
      </c>
      <c r="E74" s="4" t="n">
        <v>650</v>
      </c>
      <c r="F74" s="4">
        <f>H74*0.6</f>
        <v/>
      </c>
      <c r="G74" s="4">
        <f>H74-F74</f>
        <v/>
      </c>
      <c r="H74" s="4">
        <f>D74*E74</f>
        <v/>
      </c>
      <c r="I74" s="2" t="inlineStr">
        <is>
          <t>СП 484, 3.13130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Модульное пожаротушение эллинга и котельной (по разделу ПБ)</t>
        </is>
      </c>
      <c r="C75" s="2" t="inlineStr">
        <is>
          <t>компл</t>
        </is>
      </c>
      <c r="D75" s="9" t="n">
        <v>1</v>
      </c>
      <c r="E75" s="4" t="n">
        <v>400000</v>
      </c>
      <c r="F75" s="4">
        <f>H75*0.8</f>
        <v/>
      </c>
      <c r="G75" s="4">
        <f>H75-F75</f>
        <v/>
      </c>
      <c r="H75" s="4">
        <f>D75*E75</f>
        <v/>
      </c>
      <c r="I75" s="2" t="inlineStr">
        <is>
          <t>опция — проверить в ПБ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КПП: СКУД, шлагбаум, распознавание номеров, домофония</t>
        </is>
      </c>
      <c r="C76" s="2" t="inlineStr">
        <is>
          <t>компл</t>
        </is>
      </c>
      <c r="D76" s="9" t="n">
        <v>1</v>
      </c>
      <c r="E76" s="4" t="n">
        <v>700000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въезд посёлка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Видеонаблюдение 16 камер + сервер, охранная сигнализация</t>
        </is>
      </c>
      <c r="C77" s="2" t="inlineStr">
        <is>
          <t>компл</t>
        </is>
      </c>
      <c r="D77" s="9" t="n">
        <v>1</v>
      </c>
      <c r="E77" s="4" t="n">
        <v>650000</v>
      </c>
      <c r="F77" s="4">
        <f>H77*0.75</f>
        <v/>
      </c>
      <c r="G77" s="4">
        <f>H77-F77</f>
        <v/>
      </c>
      <c r="H77" s="4">
        <f>D77*E77</f>
        <v/>
      </c>
      <c r="I77" s="2" t="inlineStr">
        <is>
          <t>рынок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СКС, Wi-Fi, стойка, диспетчеризация инженерии (Home Assistant)</t>
        </is>
      </c>
      <c r="C78" s="2" t="inlineStr">
        <is>
          <t>компл</t>
        </is>
      </c>
      <c r="D78" s="9" t="n">
        <v>1</v>
      </c>
      <c r="E78" s="4" t="n">
        <v>550000</v>
      </c>
      <c r="F78" s="4">
        <f>H78*0.7</f>
        <v/>
      </c>
      <c r="G78" s="4">
        <f>H78-F78</f>
        <v/>
      </c>
      <c r="H78" s="4">
        <f>D78*E78</f>
        <v/>
      </c>
      <c r="I78" s="2" t="inlineStr">
        <is>
          <t>аналог 291-СС</t>
        </is>
      </c>
    </row>
    <row r="79">
      <c r="A79" s="2" t="inlineStr">
        <is>
          <t>16 Слаботочные системы и пожарная безопасность (СС, ПБ)</t>
        </is>
      </c>
      <c r="B79" s="2" t="inlineStr">
        <is>
          <t>Пусконаладка всех инженерных систем</t>
        </is>
      </c>
      <c r="C79" s="2" t="inlineStr">
        <is>
          <t>компл</t>
        </is>
      </c>
      <c r="D79" s="9" t="n">
        <v>1</v>
      </c>
      <c r="E79" s="4" t="n">
        <v>650000</v>
      </c>
      <c r="F79" s="4">
        <f>H79*0.0</f>
        <v/>
      </c>
      <c r="G79" s="4">
        <f>H79-F79</f>
        <v/>
      </c>
      <c r="H79" s="4">
        <f>D79*E79</f>
        <v/>
      </c>
      <c r="I79" s="2" t="inlineStr">
        <is>
          <t>рынок</t>
        </is>
      </c>
    </row>
    <row r="80">
      <c r="A80" s="6" t="inlineStr"/>
      <c r="B80" s="6" t="inlineStr">
        <is>
          <t>ИТОГО СМР</t>
        </is>
      </c>
      <c r="C80" s="6" t="inlineStr"/>
      <c r="D80" s="10" t="inlineStr"/>
      <c r="E80" s="7" t="inlineStr"/>
      <c r="F80" s="7">
        <f>SUM(F2:F79)</f>
        <v/>
      </c>
      <c r="G80" s="7">
        <f>SUM(G2:G79)</f>
        <v/>
      </c>
      <c r="H80" s="7">
        <f>SUM(H2:H79)</f>
        <v/>
      </c>
      <c r="I80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70000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220000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30000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1100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1700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800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82 шт.</t>
        </is>
      </c>
      <c r="C8" s="2" t="inlineStr">
        <is>
          <t>шт</t>
        </is>
      </c>
      <c r="D8" s="9" t="n">
        <v>82</v>
      </c>
      <c r="E8" s="4" t="n">
        <v>31000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300000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513.1900000000001</v>
      </c>
      <c r="E10" s="4" t="n">
        <v>700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590</v>
      </c>
      <c r="E11" s="4" t="n">
        <v>950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1200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</v>
      </c>
      <c r="E13" s="4" t="n">
        <v>25000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513.1900000000001</v>
      </c>
      <c r="E14" s="4" t="n">
        <v>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300000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по ЭП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65000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в ЭП — металл; 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Перекрытие 1 этажа и под плоскую кровлю: монолит ЖБ ребристое, плита 250/200 (A, B) / ПБ + монолитные участки (C)</t>
        </is>
      </c>
      <c r="C17" s="2" t="inlineStr">
        <is>
          <t>м²</t>
        </is>
      </c>
      <c r="D17" s="9" t="n">
        <v>945.59</v>
      </c>
      <c r="E17" s="4" t="n">
        <v>6800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по ЭП 660,5 м² плиты 250 + 285,1 м² плиты 200; монолит 10,5–12,5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945.59</v>
      </c>
      <c r="E18" s="4" t="n">
        <v>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30000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012 с ограждением</t>
        </is>
      </c>
      <c r="C20" s="2" t="inlineStr">
        <is>
          <t>компл</t>
        </is>
      </c>
      <c r="D20" s="9" t="n">
        <v>1</v>
      </c>
      <c r="E20" s="4" t="n">
        <v>600000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D400 400 мм (блок, клей, армирование, кладка)</t>
        </is>
      </c>
      <c r="C21" s="2" t="inlineStr">
        <is>
          <t>м³</t>
        </is>
      </c>
      <c r="D21" s="9" t="n">
        <v>257.56</v>
      </c>
      <c r="E21" s="4" t="n">
        <v>13000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147.21</v>
      </c>
      <c r="E22" s="4" t="n">
        <v>13000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44.25</v>
      </c>
      <c r="E23" s="4" t="n">
        <v>14000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353.6</v>
      </c>
      <c r="E25" s="4" t="n">
        <v>7000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 10°: стропила, ОСП, мембраны, Кликфальц Pro, водосток, снегозадержание</t>
        </is>
      </c>
      <c r="C26" s="2" t="inlineStr">
        <is>
          <t>м²</t>
        </is>
      </c>
      <c r="D26" s="9" t="n">
        <v>448.03</v>
      </c>
      <c r="E26" s="4" t="n">
        <v>10000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 неэксплуатируемая: уклоны, утепление XPS 200, мембрана, примыкания</t>
        </is>
      </c>
      <c r="C27" s="2" t="inlineStr">
        <is>
          <t>м²</t>
        </is>
      </c>
      <c r="D27" s="9" t="n">
        <v>339.91</v>
      </c>
      <c r="E27" s="4" t="n">
        <v>8000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по ЭП — неэксплуатируемая; рынок 7–10 тыс.</t>
        </is>
      </c>
    </row>
    <row r="28">
      <c r="A28" s="2" t="inlineStr">
        <is>
          <t>06 Кровля</t>
        </is>
      </c>
      <c r="B28" s="2" t="inlineStr">
        <is>
          <t>Каркасные стены чердака (фронтоны) 200 мм с фальцем</t>
        </is>
      </c>
      <c r="C28" s="2" t="inlineStr">
        <is>
          <t>м²</t>
        </is>
      </c>
      <c r="D28" s="9" t="n">
        <v>51.72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2400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10500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6000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5500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104</v>
      </c>
      <c r="E35" s="4" t="n">
        <v>8000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104 м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22000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14000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2000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(одинарные боксы) 3,5×2,6 м</t>
        </is>
      </c>
      <c r="C39" s="2" t="inlineStr">
        <is>
          <t>шт</t>
        </is>
      </c>
      <c r="D39" s="9" t="n">
        <v>4</v>
      </c>
      <c r="E39" s="4" t="n">
        <v>200000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гаражные секционные утеплённые с автоматикой (двойные боксы 004, 009) 5,5×2,6 м</t>
        </is>
      </c>
      <c r="C40" s="2" t="inlineStr">
        <is>
          <t>шт</t>
        </is>
      </c>
      <c r="D40" s="9" t="n">
        <v>2</v>
      </c>
      <c r="E40" s="4" t="n">
        <v>300000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широкие, с приводом</t>
        </is>
      </c>
    </row>
    <row r="41">
      <c r="A41" s="2" t="inlineStr">
        <is>
          <t>08 Окна, витражи, ворота</t>
        </is>
      </c>
      <c r="B41" s="2" t="inlineStr">
        <is>
          <t>Ворота эллинга подъёмно-секционные (два катера на прицепах) 5,5×3,6 м</t>
        </is>
      </c>
      <c r="C41" s="2" t="inlineStr">
        <is>
          <t>шт</t>
        </is>
      </c>
      <c r="D41" s="9" t="n">
        <v>1</v>
      </c>
      <c r="E41" s="4" t="n">
        <v>580000</v>
      </c>
      <c r="F41" s="4">
        <f>H41*0.85</f>
        <v/>
      </c>
      <c r="G41" s="4">
        <f>H41-F41</f>
        <v/>
      </c>
      <c r="H41" s="4">
        <f>D41*E41</f>
        <v/>
      </c>
      <c r="I41" s="2" t="inlineStr">
        <is>
          <t>нестандарт, усиленный привод</t>
        </is>
      </c>
    </row>
    <row r="42">
      <c r="A42" s="2" t="inlineStr">
        <is>
          <t>08 Окна, витражи, ворота</t>
        </is>
      </c>
      <c r="B42" s="2" t="inlineStr">
        <is>
          <t>Двери наружные металлические утеплённые</t>
        </is>
      </c>
      <c r="C42" s="2" t="inlineStr">
        <is>
          <t>шт</t>
        </is>
      </c>
      <c r="D42" s="9" t="n">
        <v>6</v>
      </c>
      <c r="E42" s="4" t="n">
        <v>60000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08 Окна, витражи, ворота</t>
        </is>
      </c>
      <c r="B43" s="2" t="inlineStr">
        <is>
          <t>Входная группа КПП (алюминий, домофон, доводчик)</t>
        </is>
      </c>
      <c r="C43" s="2" t="inlineStr">
        <is>
          <t>компл</t>
        </is>
      </c>
      <c r="D43" s="9" t="n">
        <v>1</v>
      </c>
      <c r="E43" s="4" t="n">
        <v>280000</v>
      </c>
      <c r="F43" s="4">
        <f>H43*0.8</f>
        <v/>
      </c>
      <c r="G43" s="4">
        <f>H43-F43</f>
        <v/>
      </c>
      <c r="H43" s="4">
        <f>D43*E43</f>
        <v/>
      </c>
      <c r="I43" s="2" t="inlineStr">
        <is>
          <t>рынок МО</t>
        </is>
      </c>
    </row>
    <row r="44">
      <c r="A44" s="2" t="inlineStr">
        <is>
          <t>09 Наружные МК</t>
        </is>
      </c>
      <c r="B44" s="2" t="inlineStr">
        <is>
          <t>Наружная эвакуационная лестница 3-го типа со 2 этажа</t>
        </is>
      </c>
      <c r="C44" s="2" t="inlineStr">
        <is>
          <t>компл</t>
        </is>
      </c>
      <c r="D44" s="9" t="n">
        <v>1</v>
      </c>
      <c r="E44" s="4" t="n">
        <v>850000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второй эвакуационный выход Ф1.2</t>
        </is>
      </c>
    </row>
    <row r="45">
      <c r="A45" s="2" t="inlineStr">
        <is>
          <t>09 Наружные МК</t>
        </is>
      </c>
      <c r="B45" s="2" t="inlineStr">
        <is>
          <t>Навесы, козырьки, ограждения перехода и наружной лестницы</t>
        </is>
      </c>
      <c r="C45" s="2" t="inlineStr">
        <is>
          <t>компл</t>
        </is>
      </c>
      <c r="D45" s="9" t="n">
        <v>1</v>
      </c>
      <c r="E45" s="4" t="n">
        <v>900000</v>
      </c>
      <c r="F45" s="4">
        <f>H45*0.7</f>
        <v/>
      </c>
      <c r="G45" s="4">
        <f>H45-F45</f>
        <v/>
      </c>
      <c r="H45" s="4">
        <f>D45*E45</f>
        <v/>
      </c>
      <c r="I45" s="2" t="inlineStr">
        <is>
          <t>без спецификации — по ведомости архитектора</t>
        </is>
      </c>
    </row>
    <row r="46">
      <c r="A46" s="2" t="inlineStr">
        <is>
          <t>10 Отделка черновая</t>
        </is>
      </c>
      <c r="B46" s="2" t="inlineStr">
        <is>
          <t>Техзона: упрочнённый пол (топпинг), обеспыливание стен и потолков, покраска</t>
        </is>
      </c>
      <c r="C46" s="2" t="inlineStr">
        <is>
          <t>м²</t>
        </is>
      </c>
      <c r="D46" s="9" t="n">
        <v>382.32</v>
      </c>
      <c r="E46" s="4" t="n">
        <v>3500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A — единая ставка ЭП-сметы</t>
        </is>
      </c>
    </row>
    <row r="47">
      <c r="A47" s="2" t="inlineStr">
        <is>
          <t>10 Отделка черновая</t>
        </is>
      </c>
      <c r="B47" s="2" t="inlineStr">
        <is>
          <t>Служебные, проживание, МОП: стяжка, штукатурка, ГКЛ, подготовка</t>
        </is>
      </c>
      <c r="C47" s="2" t="inlineStr">
        <is>
          <t>м²</t>
        </is>
      </c>
      <c r="D47" s="9" t="n">
        <v>459.96</v>
      </c>
      <c r="E47" s="4" t="n">
        <v>9000</v>
      </c>
      <c r="F47" s="4">
        <f>H47*0.45</f>
        <v/>
      </c>
      <c r="G47" s="4">
        <f>H47-F47</f>
        <v/>
      </c>
      <c r="H47" s="4">
        <f>D47*E47</f>
        <v/>
      </c>
      <c r="I47" s="2" t="inlineStr">
        <is>
          <t>рынок 8–14 тыс.</t>
        </is>
      </c>
    </row>
    <row r="48">
      <c r="A48" s="2" t="inlineStr">
        <is>
          <t>10 Отделка черновая</t>
        </is>
      </c>
      <c r="B48" s="2" t="inlineStr">
        <is>
          <t>Спортзал: стяжка с виброразвязкой, акустическая подготовка</t>
        </is>
      </c>
      <c r="C48" s="2" t="inlineStr">
        <is>
          <t>м²</t>
        </is>
      </c>
      <c r="D48" s="9" t="n">
        <v>114.48</v>
      </c>
      <c r="E48" s="4" t="n">
        <v>13000</v>
      </c>
      <c r="F48" s="4">
        <f>H48*0.5</f>
        <v/>
      </c>
      <c r="G48" s="4">
        <f>H48-F48</f>
        <v/>
      </c>
      <c r="H48" s="4">
        <f>D48*E48</f>
        <v/>
      </c>
      <c r="I48" s="2" t="inlineStr">
        <is>
          <t>свободные веса</t>
        </is>
      </c>
    </row>
    <row r="49">
      <c r="A49" s="2" t="inlineStr">
        <is>
          <t>11 Отделка чистовая</t>
        </is>
      </c>
      <c r="B49" s="2" t="inlineStr">
        <is>
          <t>Техзона: разметка, отбойники, полимерные полы в эллинге и котельной</t>
        </is>
      </c>
      <c r="C49" s="2" t="inlineStr">
        <is>
          <t>м²</t>
        </is>
      </c>
      <c r="D49" s="9" t="n">
        <v>382.32</v>
      </c>
      <c r="E49" s="4" t="n">
        <v>2000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A — единая ставка ЭП</t>
        </is>
      </c>
    </row>
    <row r="50">
      <c r="A50" s="2" t="inlineStr">
        <is>
          <t>11 Отделка чистовая</t>
        </is>
      </c>
      <c r="B50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50" s="2" t="inlineStr">
        <is>
          <t>м²</t>
        </is>
      </c>
      <c r="D50" s="9" t="n">
        <v>459.96</v>
      </c>
      <c r="E50" s="4" t="n">
        <v>0</v>
      </c>
      <c r="F50" s="4">
        <f>H50*0.6</f>
        <v/>
      </c>
      <c r="G50" s="4">
        <f>H50-F50</f>
        <v/>
      </c>
      <c r="H50" s="4">
        <f>D50*E50</f>
        <v/>
      </c>
      <c r="I50" s="2" t="inlineStr">
        <is>
          <t>минимальный стандарт — решение 05.10; C — shell &amp; core</t>
        </is>
      </c>
    </row>
    <row r="51">
      <c r="A51" s="2" t="inlineStr">
        <is>
          <t>11 Отделка чистовая</t>
        </is>
      </c>
      <c r="B51" s="2" t="inlineStr">
        <is>
          <t>Спортзал: спортивное покрытие, акустика, зеркала, раздевалка</t>
        </is>
      </c>
      <c r="C51" s="2" t="inlineStr">
        <is>
          <t>м²</t>
        </is>
      </c>
      <c r="D51" s="9" t="n">
        <v>114.48</v>
      </c>
      <c r="E51" s="4" t="n">
        <v>32000</v>
      </c>
      <c r="F51" s="4">
        <f>H51*0.65</f>
        <v/>
      </c>
      <c r="G51" s="4">
        <f>H51-F51</f>
        <v/>
      </c>
      <c r="H51" s="4">
        <f>D51*E51</f>
        <v/>
      </c>
      <c r="I51" s="2" t="inlineStr">
        <is>
          <t>по ТЗ интересантов, без лимита</t>
        </is>
      </c>
    </row>
    <row r="52">
      <c r="A52" s="2" t="inlineStr">
        <is>
          <t>11 Отделка чистовая</t>
        </is>
      </c>
      <c r="B52" s="2" t="inlineStr">
        <is>
          <t>Внутренние ограждения, поручни, техметаллоизделия</t>
        </is>
      </c>
      <c r="C52" s="2" t="inlineStr">
        <is>
          <t>компл</t>
        </is>
      </c>
      <c r="D52" s="9" t="n">
        <v>1</v>
      </c>
      <c r="E52" s="4" t="n">
        <v>900000</v>
      </c>
      <c r="F52" s="4">
        <f>H52*0.7</f>
        <v/>
      </c>
      <c r="G52" s="4">
        <f>H52-F52</f>
        <v/>
      </c>
      <c r="H52" s="4">
        <f>D52*E52</f>
        <v/>
      </c>
      <c r="I52" s="2" t="inlineStr">
        <is>
          <t>рынок МО</t>
        </is>
      </c>
    </row>
    <row r="53">
      <c r="A53" s="2" t="inlineStr">
        <is>
          <t>12 Отопление (ОВ)</t>
        </is>
      </c>
      <c r="B53" s="2" t="inlineStr">
        <is>
          <t>Котельная: пеллетный котёл 60 кВт + бункер, электрокотёл 24 кВт, буфер 1 000 л, обвязка, автоматика (Qрасч ≈ 62 кВт)</t>
        </is>
      </c>
      <c r="C53" s="2" t="inlineStr">
        <is>
          <t>компл</t>
        </is>
      </c>
      <c r="D53" s="9" t="n">
        <v>1</v>
      </c>
      <c r="E53" s="4" t="n">
        <v>2300000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аналог 291-ОВ «Ромарио»</t>
        </is>
      </c>
    </row>
    <row r="54">
      <c r="A54" s="2" t="inlineStr">
        <is>
          <t>12 Отопление (ОВ)</t>
        </is>
      </c>
      <c r="B54" s="2" t="inlineStr">
        <is>
          <t>Дымоход нержавеющий утеплённый Ø200, h ≈ 11 м</t>
        </is>
      </c>
      <c r="C54" s="2" t="inlineStr">
        <is>
          <t>компл</t>
        </is>
      </c>
      <c r="D54" s="9" t="n">
        <v>1</v>
      </c>
      <c r="E54" s="4" t="n">
        <v>250000</v>
      </c>
      <c r="F54" s="4">
        <f>H54*0.75</f>
        <v/>
      </c>
      <c r="G54" s="4">
        <f>H54-F54</f>
        <v/>
      </c>
      <c r="H54" s="4">
        <f>D54*E54</f>
        <v/>
      </c>
      <c r="I54" s="2" t="inlineStr">
        <is>
          <t>рынок</t>
        </is>
      </c>
    </row>
    <row r="55">
      <c r="A55" s="2" t="inlineStr">
        <is>
          <t>12 Отопление (ОВ)</t>
        </is>
      </c>
      <c r="B55" s="2" t="inlineStr">
        <is>
          <t>Тёплые полы водяные: проживание, МОП, спортзал</t>
        </is>
      </c>
      <c r="C55" s="2" t="inlineStr">
        <is>
          <t>м²</t>
        </is>
      </c>
      <c r="D55" s="9" t="n">
        <v>514.4400000000001</v>
      </c>
      <c r="E55" s="4" t="n">
        <v>2300</v>
      </c>
      <c r="F55" s="4">
        <f>H55*0.5</f>
        <v/>
      </c>
      <c r="G55" s="4">
        <f>H55-F55</f>
        <v/>
      </c>
      <c r="H55" s="4">
        <f>D55*E55</f>
        <v/>
      </c>
      <c r="I55" s="2" t="inlineStr">
        <is>
          <t>рынок МО</t>
        </is>
      </c>
    </row>
    <row r="56">
      <c r="A56" s="2" t="inlineStr">
        <is>
          <t>12 Отопление (ОВ)</t>
        </is>
      </c>
      <c r="B56" s="2" t="inlineStr">
        <is>
          <t>Конвекторы внутрипольные у витражей, радиаторы в с/у и КПП</t>
        </is>
      </c>
      <c r="C56" s="2" t="inlineStr">
        <is>
          <t>шт</t>
        </is>
      </c>
      <c r="D56" s="9" t="n">
        <v>28</v>
      </c>
      <c r="E56" s="4" t="n">
        <v>32000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рынок</t>
        </is>
      </c>
    </row>
    <row r="57">
      <c r="A57" s="2" t="inlineStr">
        <is>
          <t>12 Отопление (ОВ)</t>
        </is>
      </c>
      <c r="B57" s="2" t="inlineStr">
        <is>
          <t>Воздушно-отопительные агрегаты гаражей и эллинга (+5 °C)</t>
        </is>
      </c>
      <c r="C57" s="2" t="inlineStr">
        <is>
          <t>шт</t>
        </is>
      </c>
      <c r="D57" s="9" t="n">
        <v>6</v>
      </c>
      <c r="E57" s="4" t="n">
        <v>95000</v>
      </c>
      <c r="F57" s="4">
        <f>H57*0.75</f>
        <v/>
      </c>
      <c r="G57" s="4">
        <f>H57-F57</f>
        <v/>
      </c>
      <c r="H57" s="4">
        <f>D57*E57</f>
        <v/>
      </c>
      <c r="I57" s="2" t="inlineStr">
        <is>
          <t>Volcano/аналог</t>
        </is>
      </c>
    </row>
    <row r="58">
      <c r="A58" s="2" t="inlineStr">
        <is>
          <t>12 Отопление (ОВ)</t>
        </is>
      </c>
      <c r="B58" s="2" t="inlineStr">
        <is>
          <t>Магистрали, коллекторы, изоляция, ПНР</t>
        </is>
      </c>
      <c r="C58" s="2" t="inlineStr">
        <is>
          <t>компл</t>
        </is>
      </c>
      <c r="D58" s="9" t="n">
        <v>1</v>
      </c>
      <c r="E58" s="4" t="n">
        <v>800000</v>
      </c>
      <c r="F58" s="4">
        <f>H58*0.55</f>
        <v/>
      </c>
      <c r="G58" s="4">
        <f>H58-F58</f>
        <v/>
      </c>
      <c r="H58" s="4">
        <f>D58*E58</f>
        <v/>
      </c>
      <c r="I58" s="2" t="inlineStr">
        <is>
          <t>рынок</t>
        </is>
      </c>
    </row>
    <row r="59">
      <c r="A59" s="2" t="inlineStr">
        <is>
          <t>13 Водоснабжение и канализация (ВК)</t>
        </is>
      </c>
      <c r="B59" s="2" t="inlineStr">
        <is>
          <t>Узел ввода, учёт, фильтрация/умягчение</t>
        </is>
      </c>
      <c r="C59" s="2" t="inlineStr">
        <is>
          <t>компл</t>
        </is>
      </c>
      <c r="D59" s="9" t="n">
        <v>1</v>
      </c>
      <c r="E59" s="4" t="n">
        <v>380000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посёлковая сеть</t>
        </is>
      </c>
    </row>
    <row r="60">
      <c r="A60" s="2" t="inlineStr">
        <is>
          <t>13 Водоснабжение и канализация (ВК)</t>
        </is>
      </c>
      <c r="B60" s="2" t="inlineStr">
        <is>
          <t>Бойлер косвенного нагрева 500 л + рециркуляция ГВС</t>
        </is>
      </c>
      <c r="C60" s="2" t="inlineStr">
        <is>
          <t>компл</t>
        </is>
      </c>
      <c r="D60" s="9" t="n">
        <v>1</v>
      </c>
      <c r="E60" s="4" t="n">
        <v>330000</v>
      </c>
      <c r="F60" s="4">
        <f>H60*0.75</f>
        <v/>
      </c>
      <c r="G60" s="4">
        <f>H60-F60</f>
        <v/>
      </c>
      <c r="H60" s="4">
        <f>D60*E60</f>
        <v/>
      </c>
      <c r="I60" s="2" t="inlineStr">
        <is>
          <t>рынок</t>
        </is>
      </c>
    </row>
    <row r="61">
      <c r="A61" s="2" t="inlineStr">
        <is>
          <t>13 Водоснабжение и канализация (ВК)</t>
        </is>
      </c>
      <c r="B61" s="2" t="inlineStr">
        <is>
          <t>Внутренние сети В1/Т3/Т4/К1 с изоляцией</t>
        </is>
      </c>
      <c r="C61" s="2" t="inlineStr">
        <is>
          <t>м²</t>
        </is>
      </c>
      <c r="D61" s="9" t="n">
        <v>956.76</v>
      </c>
      <c r="E61" s="4" t="n">
        <v>1000</v>
      </c>
      <c r="F61" s="4">
        <f>H61*0.5</f>
        <v/>
      </c>
      <c r="G61" s="4">
        <f>H61-F61</f>
        <v/>
      </c>
      <c r="H61" s="4">
        <f>D61*E61</f>
        <v/>
      </c>
      <c r="I61" s="2" t="inlineStr">
        <is>
          <t>рынок МО</t>
        </is>
      </c>
    </row>
    <row r="62">
      <c r="A62" s="2" t="inlineStr">
        <is>
          <t>13 Водоснабжение и канализация (ВК)</t>
        </is>
      </c>
      <c r="B62" s="2" t="inlineStr">
        <is>
          <t>Санузлы: унитаз, раковина, душ/поддон, смесители — 10 шт.</t>
        </is>
      </c>
      <c r="C62" s="2" t="inlineStr">
        <is>
          <t>шт</t>
        </is>
      </c>
      <c r="D62" s="9" t="n">
        <v>10</v>
      </c>
      <c r="E62" s="4" t="n">
        <v>60000</v>
      </c>
      <c r="F62" s="4">
        <f>H62*0.7</f>
        <v/>
      </c>
      <c r="G62" s="4">
        <f>H62-F62</f>
        <v/>
      </c>
      <c r="H62" s="4">
        <f>D62*E62</f>
        <v/>
      </c>
      <c r="I62" s="2" t="inlineStr">
        <is>
          <t>C — только КПП и раздевалка, прочие — точки подключения</t>
        </is>
      </c>
    </row>
    <row r="63">
      <c r="A63" s="2" t="inlineStr">
        <is>
          <t>13 Водоснабжение и канализация (ВК)</t>
        </is>
      </c>
      <c r="B63" s="2" t="inlineStr">
        <is>
          <t>Трапы и лотки гаражей/эллинга, бензомаслоуловитель (ЛОС) 1 л/с</t>
        </is>
      </c>
      <c r="C63" s="2" t="inlineStr">
        <is>
          <t>компл</t>
        </is>
      </c>
      <c r="D63" s="9" t="n">
        <v>1</v>
      </c>
      <c r="E63" s="4" t="n">
        <v>600000</v>
      </c>
      <c r="F63" s="4">
        <f>H63*0.75</f>
        <v/>
      </c>
      <c r="G63" s="4">
        <f>H63-F63</f>
        <v/>
      </c>
      <c r="H63" s="4">
        <f>D63*E63</f>
        <v/>
      </c>
      <c r="I63" s="2" t="inlineStr">
        <is>
          <t>ВОЗ — обязательно</t>
        </is>
      </c>
    </row>
    <row r="64">
      <c r="A64" s="2" t="inlineStr">
        <is>
          <t>13 Водоснабжение и канализация (ВК)</t>
        </is>
      </c>
      <c r="B64" s="2" t="inlineStr">
        <is>
          <t>Кухня столовой, прачечная: подключение оборудования</t>
        </is>
      </c>
      <c r="C64" s="2" t="inlineStr">
        <is>
          <t>компл</t>
        </is>
      </c>
      <c r="D64" s="9" t="n">
        <v>1</v>
      </c>
      <c r="E64" s="4" t="n">
        <v>150000</v>
      </c>
      <c r="F64" s="4">
        <f>H64*0.5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П1/В1 проживание 1 300 м³/ч с рекуператором, воздуховоды, распределители</t>
        </is>
      </c>
      <c r="C65" s="2" t="inlineStr">
        <is>
          <t>компл</t>
        </is>
      </c>
      <c r="D65" s="9" t="n">
        <v>1</v>
      </c>
      <c r="E65" s="4" t="n">
        <v>1200000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рынок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П2/В2 спортзал 1 200 м³/ч с рекуператором и охладителем</t>
        </is>
      </c>
      <c r="C66" s="2" t="inlineStr">
        <is>
          <t>компл</t>
        </is>
      </c>
      <c r="D66" s="9" t="n">
        <v>1</v>
      </c>
      <c r="E66" s="4" t="n">
        <v>1700000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по ТЗ спортзала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В3 гаражи и эллинг: вытяжка по датчикам CO/паров, клапаны</t>
        </is>
      </c>
      <c r="C67" s="2" t="inlineStr">
        <is>
          <t>компл</t>
        </is>
      </c>
      <c r="D67" s="9" t="n">
        <v>1</v>
      </c>
      <c r="E67" s="4" t="n">
        <v>650000</v>
      </c>
      <c r="F67" s="4">
        <f>H67*0.7</f>
        <v/>
      </c>
      <c r="G67" s="4">
        <f>H67-F67</f>
        <v/>
      </c>
      <c r="H67" s="4">
        <f>D67*E67</f>
        <v/>
      </c>
      <c r="I67" s="2" t="inlineStr">
        <is>
          <t>без приточки</t>
        </is>
      </c>
    </row>
    <row r="68">
      <c r="A68" s="2" t="inlineStr">
        <is>
          <t>14 Вентиляция и кондиционирование (ОВК)</t>
        </is>
      </c>
      <c r="B68" s="2" t="inlineStr">
        <is>
          <t>Кондиционирование: мини-VRF 22 кВт — спортзал, столовая, КПП, охрана</t>
        </is>
      </c>
      <c r="C68" s="2" t="inlineStr">
        <is>
          <t>компл</t>
        </is>
      </c>
      <c r="D68" s="9" t="n">
        <v>1</v>
      </c>
      <c r="E68" s="4" t="n">
        <v>1500000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A — «условно» ЭП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ВРУ/ГРЩ 100 А в электрощитовой 013, учёт, АВР на генератор, щиты этажные</t>
        </is>
      </c>
      <c r="C69" s="2" t="inlineStr">
        <is>
          <t>компл</t>
        </is>
      </c>
      <c r="D69" s="9" t="n">
        <v>1</v>
      </c>
      <c r="E69" s="4" t="n">
        <v>750000</v>
      </c>
      <c r="F69" s="4">
        <f>H69*0.75</f>
        <v/>
      </c>
      <c r="G69" s="4">
        <f>H69-F69</f>
        <v/>
      </c>
      <c r="H69" s="4">
        <f>D69*E69</f>
        <v/>
      </c>
      <c r="I69" s="2" t="inlineStr">
        <is>
          <t>Pр ≈ 60 кВт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Кабельные сети, розетки, выключатели, освещение (светильники служебного стандарта)</t>
        </is>
      </c>
      <c r="C70" s="2" t="inlineStr">
        <is>
          <t>м²</t>
        </is>
      </c>
      <c r="D70" s="9" t="n">
        <v>956.76</v>
      </c>
      <c r="E70" s="4" t="n">
        <v>2600</v>
      </c>
      <c r="F70" s="4">
        <f>H70*0.55</f>
        <v/>
      </c>
      <c r="G70" s="4">
        <f>H70-F70</f>
        <v/>
      </c>
      <c r="H70" s="4">
        <f>D70*E70</f>
        <v/>
      </c>
      <c r="I70" s="2" t="inlineStr">
        <is>
          <t>A — 6,0 млн ЭП-сметы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Освещение спортзала и фасадов (архитектурное, к воде)</t>
        </is>
      </c>
      <c r="C71" s="2" t="inlineStr">
        <is>
          <t>компл</t>
        </is>
      </c>
      <c r="D71" s="9" t="n">
        <v>1</v>
      </c>
      <c r="E71" s="4" t="n">
        <v>500000</v>
      </c>
      <c r="F71" s="4">
        <f>H71*0.75</f>
        <v/>
      </c>
      <c r="G71" s="4">
        <f>H71-F71</f>
        <v/>
      </c>
      <c r="H71" s="4">
        <f>D71*E71</f>
        <v/>
      </c>
      <c r="I71" s="2" t="inlineStr">
        <is>
          <t>рынок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Зарядные станции 7,4 кВт с управлением нагрузкой</t>
        </is>
      </c>
      <c r="C72" s="2" t="inlineStr">
        <is>
          <t>шт</t>
        </is>
      </c>
      <c r="D72" s="9" t="n">
        <v>4</v>
      </c>
      <c r="E72" s="4" t="n">
        <v>0</v>
      </c>
      <c r="F72" s="4">
        <f>H72*0.8</f>
        <v/>
      </c>
      <c r="G72" s="4">
        <f>H72-F72</f>
        <v/>
      </c>
      <c r="H72" s="4">
        <f>D72*E72</f>
        <v/>
      </c>
      <c r="I72" s="2" t="inlineStr">
        <is>
          <t>C — только кабельные трассы</t>
        </is>
      </c>
    </row>
    <row r="73">
      <c r="A73" s="2" t="inlineStr">
        <is>
          <t>15 Электроснабжение и освещение (ЭОМ)</t>
        </is>
      </c>
      <c r="B73" s="2" t="inlineStr">
        <is>
          <t>Молниезащита, заземление, уравнивание потенциалов</t>
        </is>
      </c>
      <c r="C73" s="2" t="inlineStr">
        <is>
          <t>компл</t>
        </is>
      </c>
      <c r="D73" s="9" t="n">
        <v>1</v>
      </c>
      <c r="E73" s="4" t="n">
        <v>450000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аналог 291-МЗ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АПС адресная + СОУЭ 2 типа</t>
        </is>
      </c>
      <c r="C74" s="2" t="inlineStr">
        <is>
          <t>м²</t>
        </is>
      </c>
      <c r="D74" s="9" t="n">
        <v>956.76</v>
      </c>
      <c r="E74" s="4" t="n">
        <v>650</v>
      </c>
      <c r="F74" s="4">
        <f>H74*0.6</f>
        <v/>
      </c>
      <c r="G74" s="4">
        <f>H74-F74</f>
        <v/>
      </c>
      <c r="H74" s="4">
        <f>D74*E74</f>
        <v/>
      </c>
      <c r="I74" s="2" t="inlineStr">
        <is>
          <t>СП 484, 3.13130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Модульное пожаротушение эллинга и котельной (по разделу ПБ)</t>
        </is>
      </c>
      <c r="C75" s="2" t="inlineStr">
        <is>
          <t>компл</t>
        </is>
      </c>
      <c r="D75" s="9" t="n">
        <v>1</v>
      </c>
      <c r="E75" s="4" t="n">
        <v>400000</v>
      </c>
      <c r="F75" s="4">
        <f>H75*0.8</f>
        <v/>
      </c>
      <c r="G75" s="4">
        <f>H75-F75</f>
        <v/>
      </c>
      <c r="H75" s="4">
        <f>D75*E75</f>
        <v/>
      </c>
      <c r="I75" s="2" t="inlineStr">
        <is>
          <t>опция — проверить в ПБ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КПП: СКУД, шлагбаум, распознавание номеров, домофония</t>
        </is>
      </c>
      <c r="C76" s="2" t="inlineStr">
        <is>
          <t>компл</t>
        </is>
      </c>
      <c r="D76" s="9" t="n">
        <v>1</v>
      </c>
      <c r="E76" s="4" t="n">
        <v>600000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въезд посёлка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Видеонаблюдение 16 камер + сервер, охранная сигнализация</t>
        </is>
      </c>
      <c r="C77" s="2" t="inlineStr">
        <is>
          <t>компл</t>
        </is>
      </c>
      <c r="D77" s="9" t="n">
        <v>1</v>
      </c>
      <c r="E77" s="4" t="n">
        <v>600000</v>
      </c>
      <c r="F77" s="4">
        <f>H77*0.75</f>
        <v/>
      </c>
      <c r="G77" s="4">
        <f>H77-F77</f>
        <v/>
      </c>
      <c r="H77" s="4">
        <f>D77*E77</f>
        <v/>
      </c>
      <c r="I77" s="2" t="inlineStr">
        <is>
          <t>рынок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СКС, Wi-Fi, стойка, диспетчеризация инженерии (Home Assistant)</t>
        </is>
      </c>
      <c r="C78" s="2" t="inlineStr">
        <is>
          <t>компл</t>
        </is>
      </c>
      <c r="D78" s="9" t="n">
        <v>1</v>
      </c>
      <c r="E78" s="4" t="n">
        <v>400000</v>
      </c>
      <c r="F78" s="4">
        <f>H78*0.7</f>
        <v/>
      </c>
      <c r="G78" s="4">
        <f>H78-F78</f>
        <v/>
      </c>
      <c r="H78" s="4">
        <f>D78*E78</f>
        <v/>
      </c>
      <c r="I78" s="2" t="inlineStr">
        <is>
          <t>аналог 291-СС</t>
        </is>
      </c>
    </row>
    <row r="79">
      <c r="A79" s="2" t="inlineStr">
        <is>
          <t>16 Слаботочные системы и пожарная безопасность (СС, ПБ)</t>
        </is>
      </c>
      <c r="B79" s="2" t="inlineStr">
        <is>
          <t>Пусконаладка всех инженерных систем</t>
        </is>
      </c>
      <c r="C79" s="2" t="inlineStr">
        <is>
          <t>компл</t>
        </is>
      </c>
      <c r="D79" s="9" t="n">
        <v>1</v>
      </c>
      <c r="E79" s="4" t="n">
        <v>550000</v>
      </c>
      <c r="F79" s="4">
        <f>H79*0.0</f>
        <v/>
      </c>
      <c r="G79" s="4">
        <f>H79-F79</f>
        <v/>
      </c>
      <c r="H79" s="4">
        <f>D79*E79</f>
        <v/>
      </c>
      <c r="I79" s="2" t="inlineStr">
        <is>
          <t>рынок</t>
        </is>
      </c>
    </row>
    <row r="80">
      <c r="A80" s="6" t="inlineStr"/>
      <c r="B80" s="6" t="inlineStr">
        <is>
          <t>ИТОГО СМР</t>
        </is>
      </c>
      <c r="C80" s="6" t="inlineStr"/>
      <c r="D80" s="10" t="inlineStr"/>
      <c r="E80" s="7" t="inlineStr"/>
      <c r="F80" s="7">
        <f>SUM(F2:F79)</f>
        <v/>
      </c>
      <c r="G80" s="7">
        <f>SUM(G2:G79)</f>
        <v/>
      </c>
      <c r="H80" s="7">
        <f>SUM(H2:H79)</f>
        <v/>
      </c>
      <c r="I80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8" customWidth="1" min="1" max="1"/>
    <col width="64" customWidth="1" min="2" max="2"/>
    <col width="13" customWidth="1" min="3" max="3"/>
    <col width="13" customWidth="1" min="4" max="4"/>
    <col width="13" customWidth="1" min="5" max="5"/>
    <col width="34" customWidth="1" min="6" max="6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A</t>
        </is>
      </c>
      <c r="D1" s="3" t="inlineStr">
        <is>
          <t>B</t>
        </is>
      </c>
      <c r="E1" s="3" t="inlineStr">
        <is>
          <t>C</t>
        </is>
      </c>
      <c r="F1" s="3" t="inlineStr">
        <is>
          <t>Комментарий</t>
        </is>
      </c>
    </row>
    <row r="2">
      <c r="A2" s="2" t="inlineStr">
        <is>
          <t>20 Проектирование и изыскания</t>
        </is>
      </c>
      <c r="B2" s="2" t="inlineStr">
        <is>
          <t>Инженерно-геологические изыскания на пятне (4 скважины по 15 м, лаборатория)</t>
        </is>
      </c>
      <c r="C2" s="4" t="n">
        <v>450000</v>
      </c>
      <c r="D2" s="4" t="n">
        <v>400000</v>
      </c>
      <c r="E2" s="4" t="n">
        <v>400000</v>
      </c>
      <c r="F2" s="2" t="inlineStr">
        <is>
          <t>до КР фундамента</t>
        </is>
      </c>
    </row>
    <row r="3">
      <c r="A3" s="2" t="inlineStr">
        <is>
          <t>20 Проектирование и изыскания</t>
        </is>
      </c>
      <c r="B3" s="2" t="inlineStr">
        <is>
          <t>Рабочая документация АР + КР (КЖ, КД) + ИОС + ПБ</t>
        </is>
      </c>
      <c r="C3" s="4" t="n">
        <v>3400000</v>
      </c>
      <c r="D3" s="4" t="n">
        <v>2900000</v>
      </c>
      <c r="E3" s="4" t="n">
        <v>2600000</v>
      </c>
      <c r="F3" s="2" t="inlineStr">
        <is>
          <t>3,0 тыс. ₽/м²</t>
        </is>
      </c>
    </row>
    <row r="4">
      <c r="A4" s="2" t="inlineStr">
        <is>
          <t>20 Проектирование и изыскания</t>
        </is>
      </c>
      <c r="B4" s="2" t="inlineStr">
        <is>
          <t>Авторский надзор архитектора и конструктора</t>
        </is>
      </c>
      <c r="C4" s="4" t="n">
        <v>450000</v>
      </c>
      <c r="D4" s="4" t="n">
        <v>350000</v>
      </c>
      <c r="E4" s="4" t="n">
        <v>300000</v>
      </c>
      <c r="F4" s="2" t="inlineStr">
        <is>
          <t>12 мес</t>
        </is>
      </c>
    </row>
    <row r="5">
      <c r="A5" s="2" t="inlineStr">
        <is>
          <t>20 Проектирование и изыскания</t>
        </is>
      </c>
      <c r="B5" s="2" t="inlineStr">
        <is>
          <t>Технический надзор заказчика (≈ 1,5 % СМР)</t>
        </is>
      </c>
      <c r="C5" s="4" t="n">
        <v>1900000</v>
      </c>
      <c r="D5" s="4" t="n">
        <v>1500000</v>
      </c>
      <c r="E5" s="4" t="n">
        <v>1300000</v>
      </c>
      <c r="F5" s="2" t="inlineStr">
        <is>
          <t>независимый</t>
        </is>
      </c>
    </row>
    <row r="6">
      <c r="A6" s="2" t="inlineStr">
        <is>
          <t>20 Проектирование и изыскания</t>
        </is>
      </c>
      <c r="B6" s="2" t="inlineStr">
        <is>
          <t>Негосударственная экспертиза КР и ПБ (добровольная)</t>
        </is>
      </c>
      <c r="C6" s="4" t="n">
        <v>450000</v>
      </c>
      <c r="D6" s="4" t="n">
        <v>400000</v>
      </c>
      <c r="E6" s="4" t="n">
        <v>0</v>
      </c>
      <c r="F6" s="2" t="inlineStr">
        <is>
          <t>рекомендуется</t>
        </is>
      </c>
    </row>
    <row r="7">
      <c r="A7" s="2" t="inlineStr">
        <is>
          <t>21 Право и регистрация</t>
        </is>
      </c>
      <c r="B7" s="2" t="inlineStr">
        <is>
          <t>Юрист: ВОЗ/прибрежная полоса, капитальность в 100-м зоне, ЗСО</t>
        </is>
      </c>
      <c r="C7" s="4" t="n">
        <v>350000</v>
      </c>
      <c r="D7" s="4" t="n">
        <v>300000</v>
      </c>
      <c r="E7" s="4" t="n">
        <v>300000</v>
      </c>
      <c r="F7" s="2" t="inlineStr">
        <is>
          <t>поручение Сычёву</t>
        </is>
      </c>
    </row>
    <row r="8">
      <c r="A8" s="2" t="inlineStr">
        <is>
          <t>21 Право и регистрация</t>
        </is>
      </c>
      <c r="B8" s="2" t="inlineStr">
        <is>
          <t>Техплан, постановка на кадастровый учёт, регистрация</t>
        </is>
      </c>
      <c r="C8" s="4" t="n">
        <v>90000</v>
      </c>
      <c r="D8" s="4" t="n">
        <v>90000</v>
      </c>
      <c r="E8" s="4" t="n">
        <v>90000</v>
      </c>
      <c r="F8" s="2" t="inlineStr">
        <is>
          <t>≈ 45 тыс. ₽ (19.10)</t>
        </is>
      </c>
    </row>
    <row r="9">
      <c r="A9" s="2" t="inlineStr">
        <is>
          <t>22 Наружные сети и благоустройство</t>
        </is>
      </c>
      <c r="B9" s="2" t="inlineStr">
        <is>
          <t>Подключение к посёлковым сетям: кабель 0,4 кВ, В1, К1, связь (≈ 80 м)</t>
        </is>
      </c>
      <c r="C9" s="4" t="n">
        <v>2200000</v>
      </c>
      <c r="D9" s="4" t="n">
        <v>1800000</v>
      </c>
      <c r="E9" s="4" t="n">
        <v>1800000</v>
      </c>
      <c r="F9" s="2" t="inlineStr">
        <is>
          <t>от точек посёлковых сетей</t>
        </is>
      </c>
    </row>
    <row r="10">
      <c r="A10" s="2" t="inlineStr">
        <is>
          <t>22 Наружные сети и благоустройство</t>
        </is>
      </c>
      <c r="B10" s="2" t="inlineStr">
        <is>
          <t>Площадки у ворот, гостевая парковка, навес, разворот (≈ 650 м² плитка/асфальт)</t>
        </is>
      </c>
      <c r="C10" s="4" t="n">
        <v>4200000</v>
      </c>
      <c r="D10" s="4" t="n">
        <v>3300000</v>
      </c>
      <c r="E10" s="4" t="n">
        <v>2200000</v>
      </c>
      <c r="F10" s="2" t="inlineStr">
        <is>
          <t>по генплану Спицыной</t>
        </is>
      </c>
    </row>
    <row r="11">
      <c r="A11" s="2" t="inlineStr">
        <is>
          <t>22 Наружные сети и благоустройство</t>
        </is>
      </c>
      <c r="B11" s="2" t="inlineStr">
        <is>
          <t>Ливневая канализация с ЛОС участка эллинга</t>
        </is>
      </c>
      <c r="C11" s="4" t="n">
        <v>900000</v>
      </c>
      <c r="D11" s="4" t="n">
        <v>800000</v>
      </c>
      <c r="E11" s="4" t="n">
        <v>800000</v>
      </c>
      <c r="F11" s="2" t="inlineStr">
        <is>
          <t>ВОЗ: очистка обязательна</t>
        </is>
      </c>
    </row>
    <row r="12">
      <c r="A12" s="2" t="inlineStr">
        <is>
          <t>22 Наружные сети и благоустройство</t>
        </is>
      </c>
      <c r="B12" s="2" t="inlineStr">
        <is>
          <t>Дорога эллинг — пирс (≈ 120 м, щебёночное/асфальт)</t>
        </is>
      </c>
      <c r="C12" s="4" t="n">
        <v>1500000</v>
      </c>
      <c r="D12" s="4" t="n">
        <v>1200000</v>
      </c>
      <c r="E12" s="4" t="n">
        <v>0</v>
      </c>
      <c r="F12" s="2" t="inlineStr">
        <is>
          <t>ПОЛ по :469 — до 30.11</t>
        </is>
      </c>
    </row>
    <row r="13">
      <c r="A13" s="2" t="inlineStr">
        <is>
          <t>23 Оснащение</t>
        </is>
      </c>
      <c r="B13" s="2" t="inlineStr">
        <is>
          <t>Оборудование спортзала (по ТЗ интересантов)</t>
        </is>
      </c>
      <c r="C13" s="4" t="n">
        <v>5000000</v>
      </c>
      <c r="D13" s="4" t="n">
        <v>4000000</v>
      </c>
      <c r="E13" s="4" t="n">
        <v>4000000</v>
      </c>
      <c r="F13" s="2" t="inlineStr">
        <is>
          <t>без лимита — оценка</t>
        </is>
      </c>
    </row>
    <row r="14">
      <c r="A14" s="2" t="inlineStr">
        <is>
          <t>23 Оснащение</t>
        </is>
      </c>
      <c r="B14" s="2" t="inlineStr">
        <is>
          <t>Мебель и техника: 14 спален, столовая, квартира управляющего, охрана, КПП</t>
        </is>
      </c>
      <c r="C14" s="4" t="n">
        <v>4000000</v>
      </c>
      <c r="D14" s="4" t="n">
        <v>2600000</v>
      </c>
      <c r="E14" s="4" t="n">
        <v>900000</v>
      </c>
      <c r="F14" s="2" t="inlineStr">
        <is>
          <t>C — КПП и охрана</t>
        </is>
      </c>
    </row>
    <row r="15">
      <c r="A15" s="2" t="inlineStr">
        <is>
          <t>23 Оснащение</t>
        </is>
      </c>
      <c r="B15" s="2" t="inlineStr">
        <is>
          <t>Прачечная, оборудование эллинга (лебёдка, стеллажи, тележки)</t>
        </is>
      </c>
      <c r="C15" s="4" t="n">
        <v>900000</v>
      </c>
      <c r="D15" s="4" t="n">
        <v>700000</v>
      </c>
      <c r="E15" s="4" t="n">
        <v>500000</v>
      </c>
      <c r="F15" s="2" t="inlineStr">
        <is>
          <t>рынок</t>
        </is>
      </c>
    </row>
    <row r="16">
      <c r="A16" s="2" t="inlineStr">
        <is>
          <t>24 Причал (вне здания)</t>
        </is>
      </c>
      <c r="B16" s="2" t="inlineStr">
        <is>
          <t>Слип для спуска катеров (по генплану ЭП), монолит ЖБ ≈ 6×20 м</t>
        </is>
      </c>
      <c r="C16" s="4" t="n">
        <v>2500000</v>
      </c>
      <c r="D16" s="4" t="n">
        <v>2000000</v>
      </c>
      <c r="E16" s="4" t="n">
        <v>0</v>
      </c>
      <c r="F16" s="2" t="inlineStr">
        <is>
          <t>прибрежная полоса — согласование</t>
        </is>
      </c>
    </row>
    <row r="17">
      <c r="A17" s="2" t="inlineStr">
        <is>
          <t>24 Причал (вне здания)</t>
        </is>
      </c>
      <c r="B17" s="2" t="inlineStr">
        <is>
          <t>Сборный понтон 2×(3×12 м) с трапом и швартовкой (база ГИМС)</t>
        </is>
      </c>
      <c r="C17" s="4" t="n">
        <v>5500000</v>
      </c>
      <c r="D17" s="4" t="n">
        <v>4500000</v>
      </c>
      <c r="E17" s="4" t="n">
        <v>0</v>
      </c>
      <c r="F17" s="2" t="inlineStr">
        <is>
          <t>не регистрируется; зимой лежит на дне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3" t="inlineStr">
        <is>
          <t>Раздел</t>
        </is>
      </c>
      <c r="B1" s="3" t="inlineStr">
        <is>
          <t>A</t>
        </is>
      </c>
      <c r="C1" s="3" t="inlineStr">
        <is>
          <t>B</t>
        </is>
      </c>
      <c r="D1" s="3" t="inlineStr">
        <is>
          <t>C</t>
        </is>
      </c>
      <c r="E1" s="3" t="inlineStr">
        <is>
          <t>B, ₽/м²</t>
        </is>
      </c>
    </row>
    <row r="2">
      <c r="A2" s="2" t="inlineStr">
        <is>
          <t>01 Подготовка территории</t>
        </is>
      </c>
      <c r="B2" s="4" t="n">
        <v>2110000</v>
      </c>
      <c r="C2" s="4" t="n">
        <v>1420000</v>
      </c>
      <c r="D2" s="4" t="n">
        <v>1420000</v>
      </c>
      <c r="E2" s="4" t="n">
        <v>1484</v>
      </c>
    </row>
    <row r="3">
      <c r="A3" s="2" t="inlineStr">
        <is>
          <t>02 Земляные работы</t>
        </is>
      </c>
      <c r="B3" s="4" t="n">
        <v>1017600</v>
      </c>
      <c r="C3" s="4" t="n">
        <v>896400</v>
      </c>
      <c r="D3" s="4" t="n">
        <v>896400</v>
      </c>
      <c r="E3" s="4" t="n">
        <v>937</v>
      </c>
    </row>
    <row r="4">
      <c r="A4" s="2" t="inlineStr">
        <is>
          <t>03 Фундамент</t>
        </is>
      </c>
      <c r="B4" s="4" t="n">
        <v>13417274</v>
      </c>
      <c r="C4" s="4" t="n">
        <v>8589733</v>
      </c>
      <c r="D4" s="4" t="n">
        <v>8589733</v>
      </c>
      <c r="E4" s="4" t="n">
        <v>8978</v>
      </c>
    </row>
    <row r="5">
      <c r="A5" s="2" t="inlineStr">
        <is>
          <t>04 Каркас и перекрытия</t>
        </is>
      </c>
      <c r="B5" s="4" t="n">
        <v>17068111</v>
      </c>
      <c r="C5" s="4" t="n">
        <v>13867962</v>
      </c>
      <c r="D5" s="4" t="n">
        <v>9140012</v>
      </c>
      <c r="E5" s="4" t="n">
        <v>14495</v>
      </c>
    </row>
    <row r="6">
      <c r="A6" s="2" t="inlineStr">
        <is>
          <t>05 Стены и перегородки</t>
        </is>
      </c>
      <c r="B6" s="4" t="n">
        <v>6578145</v>
      </c>
      <c r="C6" s="4" t="n">
        <v>6331510</v>
      </c>
      <c r="D6" s="4" t="n">
        <v>6331510</v>
      </c>
      <c r="E6" s="4" t="n">
        <v>6618</v>
      </c>
    </row>
    <row r="7">
      <c r="A7" s="2" t="inlineStr">
        <is>
          <t>06 Кровля</t>
        </is>
      </c>
      <c r="B7" s="4" t="n">
        <v>10871960</v>
      </c>
      <c r="C7" s="4" t="n">
        <v>10407270</v>
      </c>
      <c r="D7" s="4" t="n">
        <v>9959240</v>
      </c>
      <c r="E7" s="4" t="n">
        <v>10878</v>
      </c>
    </row>
    <row r="8">
      <c r="A8" s="2" t="inlineStr">
        <is>
          <t>07 Фасады</t>
        </is>
      </c>
      <c r="B8" s="4" t="n">
        <v>14817000</v>
      </c>
      <c r="C8" s="4" t="n">
        <v>12683000</v>
      </c>
      <c r="D8" s="4" t="n">
        <v>12401000</v>
      </c>
      <c r="E8" s="4" t="n">
        <v>13256</v>
      </c>
    </row>
    <row r="9">
      <c r="A9" s="2" t="inlineStr">
        <is>
          <t>08 Окна, витражи, ворота</t>
        </is>
      </c>
      <c r="B9" s="4" t="n">
        <v>10707720</v>
      </c>
      <c r="C9" s="4" t="n">
        <v>8046000</v>
      </c>
      <c r="D9" s="4" t="n">
        <v>7675360</v>
      </c>
      <c r="E9" s="4" t="n">
        <v>8410</v>
      </c>
    </row>
    <row r="10">
      <c r="A10" s="2" t="inlineStr">
        <is>
          <t>09 Наружные МК</t>
        </is>
      </c>
      <c r="B10" s="4" t="n">
        <v>2750000</v>
      </c>
      <c r="C10" s="4" t="n">
        <v>2050000</v>
      </c>
      <c r="D10" s="4" t="n">
        <v>1750000</v>
      </c>
      <c r="E10" s="4" t="n">
        <v>2143</v>
      </c>
    </row>
    <row r="11">
      <c r="A11" s="2" t="inlineStr">
        <is>
          <t>10 Отделка черновая</t>
        </is>
      </c>
      <c r="B11" s="4" t="n">
        <v>10907064</v>
      </c>
      <c r="C11" s="4" t="n">
        <v>7080696</v>
      </c>
      <c r="D11" s="4" t="n">
        <v>6966000</v>
      </c>
      <c r="E11" s="4" t="n">
        <v>7401</v>
      </c>
    </row>
    <row r="12">
      <c r="A12" s="2" t="inlineStr">
        <is>
          <t>11 Отделка чистовая</t>
        </is>
      </c>
      <c r="B12" s="4" t="n">
        <v>24818726</v>
      </c>
      <c r="C12" s="4" t="n">
        <v>12258600</v>
      </c>
      <c r="D12" s="4" t="n">
        <v>5328000</v>
      </c>
      <c r="E12" s="4" t="n">
        <v>12813</v>
      </c>
    </row>
    <row r="13">
      <c r="A13" s="2" t="inlineStr">
        <is>
          <t>12 Отопление (ОВ)</t>
        </is>
      </c>
      <c r="B13" s="4" t="n">
        <v>7237544</v>
      </c>
      <c r="C13" s="4" t="n">
        <v>6099212</v>
      </c>
      <c r="D13" s="4" t="n">
        <v>5999212</v>
      </c>
      <c r="E13" s="4" t="n">
        <v>6375</v>
      </c>
    </row>
    <row r="14">
      <c r="A14" s="2" t="inlineStr">
        <is>
          <t>13 Водоснабжение и канализация (ВК)</t>
        </is>
      </c>
      <c r="B14" s="4" t="n">
        <v>4573788</v>
      </c>
      <c r="C14" s="4" t="n">
        <v>3662436</v>
      </c>
      <c r="D14" s="4" t="n">
        <v>3016760</v>
      </c>
      <c r="E14" s="4" t="n">
        <v>3828</v>
      </c>
    </row>
    <row r="15">
      <c r="A15" s="2" t="inlineStr">
        <is>
          <t>14 Вентиляция и кондиционирование (ОВК)</t>
        </is>
      </c>
      <c r="B15" s="4" t="n">
        <v>8900000</v>
      </c>
      <c r="C15" s="4" t="n">
        <v>6250000</v>
      </c>
      <c r="D15" s="4" t="n">
        <v>5050000</v>
      </c>
      <c r="E15" s="4" t="n">
        <v>6532</v>
      </c>
    </row>
    <row r="16">
      <c r="A16" s="2" t="inlineStr">
        <is>
          <t>15 Электроснабжение и освещение (ЭОМ)</t>
        </is>
      </c>
      <c r="B16" s="4" t="n">
        <v>6974068</v>
      </c>
      <c r="C16" s="4" t="n">
        <v>5537308</v>
      </c>
      <c r="D16" s="4" t="n">
        <v>4187576</v>
      </c>
      <c r="E16" s="4" t="n">
        <v>5788</v>
      </c>
    </row>
    <row r="17">
      <c r="A17" s="2" t="inlineStr">
        <is>
          <t>16 Слаботочные системы и пожарная безопасность (СС, ПБ)</t>
        </is>
      </c>
      <c r="B17" s="4" t="n">
        <v>4867570</v>
      </c>
      <c r="C17" s="4" t="n">
        <v>3571894</v>
      </c>
      <c r="D17" s="4" t="n">
        <v>3171894</v>
      </c>
      <c r="E17" s="4" t="n">
        <v>3733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Площади помещений — по экспликациям финального ЭП от 23.10.2026: 1 этаж 420,04 м², 2 этаж 536,72 м², итого 956,76 м² (ТЭП); площадь застройки 490 м².</t>
        </is>
      </c>
    </row>
    <row r="2">
      <c r="A2" t="inlineStr">
        <is>
          <t>Объёмы конструкций — по листу 2.34 «Ведомости» финального ЭП: перекрытия, кладка, кровли, фронтоны, фасады, окна ПВХ.</t>
        </is>
      </c>
    </row>
    <row r="3">
      <c r="A3" t="inlineStr">
        <is>
          <t>Площадь алюминиевых витражей в ЭП не указана (только высота 4 750 мм) — принята 170,64 м² из предварительной сметы ЭП, уточнить у архитектора.</t>
        </is>
      </c>
    </row>
    <row r="4">
      <c r="A4" t="inlineStr">
        <is>
          <t>Высоты: 2 этаж на отметке +4,020, карниз ≈ +7,4, конёк +10,333; уклон скатной кровли 10°.</t>
        </is>
      </c>
    </row>
    <row r="5">
      <c r="A5" t="inlineStr">
        <is>
          <t>Ворота: 4 одинарных бокса 3,5×2,6 м, 2 двойных бокса 5,5×2,6 м, эллинг на два катера 5,5×3,6 м — размеры в ЭП не указаны, уточнить по ведомости проёмов.</t>
        </is>
      </c>
    </row>
    <row r="6">
      <c r="A6" t="inlineStr">
        <is>
          <t>Несущие колонны 1 этажа в ЭП — металлические. В сценариях B и C заложена замена на монолитные ЖБ 400×400 (огнестойкость R150 над стоянкой без огнезащиты); в A — сталь с огнезащитой R150.</t>
        </is>
      </c>
    </row>
    <row r="7">
      <c r="A7" t="inlineStr">
        <is>
          <t>Геологии на пятне нет. Принят суглинок/глина ≈ 3 м по данным совещания 05.10 и ИГИ участков; несущая способность сваи 380 кН — до испытаний.</t>
        </is>
      </c>
    </row>
    <row r="8">
      <c r="A8" t="inlineStr">
        <is>
          <t>Газа нет до 2028 г.; основной источник тепла — пеллеты с резервным электрокотлом, переход на газ заложен (как в доме «Ромарио»).</t>
        </is>
      </c>
    </row>
    <row r="9">
      <c r="A9" t="inlineStr">
        <is>
          <t>Цены — Москва и МО, IV кв. 2026, с НДС, «под ключ» (материал + работа + доставка + накладные подрядчика).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2026-10-24T08:20:43Z</dcterms:created>
  <dcterms:modified xmlns:dcterms="http://purl.org/dc/terms/" xmlns:xsi="http://www.w3.org/2001/XMLSchema-instance" xsi:type="dcterms:W3CDTF">2026-10-24T08:20:43Z</dcterms:modified>
</cp:coreProperties>
</file>