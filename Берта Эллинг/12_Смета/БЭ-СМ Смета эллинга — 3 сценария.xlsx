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мета A" sheetId="2" state="visible" r:id="rId2"/>
    <sheet xmlns:r="http://schemas.openxmlformats.org/officeDocument/2006/relationships" name="Смета B" sheetId="3" state="visible" r:id="rId3"/>
    <sheet xmlns:r="http://schemas.openxmlformats.org/officeDocument/2006/relationships" name="Смета C" sheetId="4" state="visible" r:id="rId4"/>
    <sheet xmlns:r="http://schemas.openxmlformats.org/officeDocument/2006/relationships" name="Вне СМР" sheetId="5" state="visible" r:id="rId5"/>
    <sheet xmlns:r="http://schemas.openxmlformats.org/officeDocument/2006/relationships" name="По разделам" sheetId="6" state="visible" r:id="rId6"/>
    <sheet xmlns:r="http://schemas.openxmlformats.org/officeDocument/2006/relationships" name="Допущ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E5F0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3" fontId="1" fillId="3" borderId="1" applyAlignment="1" pivotButton="0" quotePrefix="0" xfId="0">
      <alignment vertical="top" wrapText="1"/>
    </xf>
    <xf numFmtId="3" fontId="0" fillId="0" borderId="0" pivotButton="0" quotePrefix="0" xfId="0"/>
    <xf numFmtId="4" fontId="0" fillId="0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Эллинг «Застава», посёлок «Берта» — полная стоимость, ₽ с НДС (IV кв. 2026)</t>
        </is>
      </c>
      <c r="B1" s="2" t="n"/>
      <c r="C1" s="2" t="n"/>
      <c r="D1" s="2" t="n"/>
    </row>
    <row r="2">
      <c r="A2" s="2" t="inlineStr">
        <is>
          <t>Площадь помещений 956.76 м²; цены Москва/МО под ключ; формулы живые — меняйте цены на листах сценариев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3" t="inlineStr">
        <is>
          <t>Показатель</t>
        </is>
      </c>
      <c r="B4" s="3" t="inlineStr">
        <is>
          <t>A — проект ЭП как есть</t>
        </is>
      </c>
      <c r="C4" s="3" t="inlineStr">
        <is>
          <t>B — рекомендуемый</t>
        </is>
      </c>
      <c r="D4" s="3" t="inlineStr">
        <is>
          <t>C — минимум первой очереди</t>
        </is>
      </c>
    </row>
    <row r="5">
      <c r="A5" s="2" t="inlineStr">
        <is>
          <t>СМР здания</t>
        </is>
      </c>
      <c r="B5" s="4">
        <f>'Смета A'!H80</f>
        <v/>
      </c>
      <c r="C5" s="4">
        <f>'Смета B'!H80</f>
        <v/>
      </c>
      <c r="D5" s="4">
        <f>'Смета C'!H80</f>
        <v/>
      </c>
    </row>
    <row r="6">
      <c r="A6" s="2" t="inlineStr">
        <is>
          <t>Вне СМР</t>
        </is>
      </c>
      <c r="B6" s="4">
        <f>SUM('Вне СМР'!C2:C17)</f>
        <v/>
      </c>
      <c r="C6" s="4">
        <f>SUM('Вне СМР'!D2:D17)</f>
        <v/>
      </c>
      <c r="D6" s="4">
        <f>SUM('Вне СМР'!E2:E17)</f>
        <v/>
      </c>
    </row>
    <row r="7">
      <c r="A7" s="2" t="inlineStr">
        <is>
          <t>Резерв, доля</t>
        </is>
      </c>
      <c r="B7" s="5" t="n">
        <v>0.15</v>
      </c>
      <c r="C7" s="5" t="n">
        <v>0.12</v>
      </c>
      <c r="D7" s="5" t="n">
        <v>0.15</v>
      </c>
    </row>
    <row r="8">
      <c r="A8" s="2" t="inlineStr">
        <is>
          <t>Резерв</t>
        </is>
      </c>
      <c r="B8" s="4">
        <f>(B5+B6)*B7</f>
        <v/>
      </c>
      <c r="C8" s="4">
        <f>(C5+C6)*C7</f>
        <v/>
      </c>
      <c r="D8" s="4">
        <f>(D5+D6)*D7</f>
        <v/>
      </c>
    </row>
    <row r="9">
      <c r="A9" s="6" t="inlineStr">
        <is>
          <t>ПОЛНАЯ СТОИМОСТЬ</t>
        </is>
      </c>
      <c r="B9" s="7">
        <f>B5+B6+B8</f>
        <v/>
      </c>
      <c r="C9" s="7">
        <f>C5+C6+C8</f>
        <v/>
      </c>
      <c r="D9" s="7">
        <f>D5+D6+D8</f>
        <v/>
      </c>
    </row>
    <row r="10">
      <c r="A10" s="2" t="inlineStr">
        <is>
          <t>СМР, ₽/м²</t>
        </is>
      </c>
      <c r="B10" s="4">
        <f>B5/956.76</f>
        <v/>
      </c>
      <c r="C10" s="4">
        <f>C5/956.76</f>
        <v/>
      </c>
      <c r="D10" s="4">
        <f>D5/956.76</f>
        <v/>
      </c>
    </row>
    <row r="11">
      <c r="A11" s="2" t="inlineStr">
        <is>
          <t>Полная, ₽/м²</t>
        </is>
      </c>
      <c r="B11" s="4">
        <f>B9/956.76</f>
        <v/>
      </c>
      <c r="C11" s="4">
        <f>C9/956.76</f>
        <v/>
      </c>
      <c r="D11" s="4">
        <f>D9/956.76</f>
        <v/>
      </c>
    </row>
    <row r="13">
      <c r="A13" t="inlineStr">
        <is>
          <t>Справочно</t>
        </is>
      </c>
      <c r="B13" t="inlineStr">
        <is>
          <t>До резерва</t>
        </is>
      </c>
      <c r="C13" t="inlineStr">
        <is>
          <t>С резервом</t>
        </is>
      </c>
      <c r="D13" t="inlineStr">
        <is>
          <t>₽/м²</t>
        </is>
      </c>
    </row>
    <row r="14">
      <c r="A14" t="inlineStr">
        <is>
          <t>Смета ЭП (вариант 2 ЖБ)</t>
        </is>
      </c>
      <c r="B14" s="8" t="n">
        <v>141200000</v>
      </c>
      <c r="C14" s="8" t="n">
        <v>155320000</v>
      </c>
      <c r="D14" s="8" t="n">
        <v>161020</v>
      </c>
    </row>
    <row r="15">
      <c r="A15" t="inlineStr">
        <is>
          <t>Модель Строй Хауз (× 43,5/31,36)</t>
        </is>
      </c>
      <c r="B15" s="8" t="n">
        <v>195860969</v>
      </c>
      <c r="C15" s="8" t="inlineStr"/>
      <c r="D15" s="8" t="n">
        <v>203049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120000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250000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35000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1300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1900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900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34000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350000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750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1100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1300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27000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7800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350000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210000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12000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900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32000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010 с ограждением</t>
        </is>
      </c>
      <c r="C20" s="2" t="inlineStr">
        <is>
          <t>компл</t>
        </is>
      </c>
      <c r="D20" s="9" t="n">
        <v>1</v>
      </c>
      <c r="E20" s="4" t="n">
        <v>650000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13500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13500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15000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7200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11500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8500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2600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10500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6500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6500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110</v>
      </c>
      <c r="E35" s="4" t="n">
        <v>9000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110 м (план 33,7 × 36,8 м)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33000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20000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2500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260000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380000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700000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75000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350000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950000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1800000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11400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11400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11400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23850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23850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23850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2000000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2600000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280000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2600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45000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110000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1100000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450000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380000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1300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160000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650000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250000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2600000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1900000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900000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3500000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900000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4300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900000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140000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500000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750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450000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900000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900000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900000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1000000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11800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010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11000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6300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110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110 м (план 33,7 × 36,8 м)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15000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220000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330000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580000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60000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280000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850000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1200000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3800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9000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13000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2500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14000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32000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1200000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2300000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250000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2300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32000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95000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900000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330000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1100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110000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600000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200000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2100000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1700000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650000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1800000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750000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3300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700000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120000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450000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650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400000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700000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650000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550000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650000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6800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010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10000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6000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110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110 м (план 33,7 × 36,8 м)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22000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14000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200000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300000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580000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60000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280000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850000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900000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3500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9000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13000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2000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32000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900000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2300000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250000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2300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32000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95000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800000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330000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1000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60000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600000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150000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1200000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1700000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650000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1500000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750000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2600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500000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450000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650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400000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600000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600000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400000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550000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  <col width="13" customWidth="1" min="3" max="3"/>
    <col width="13" customWidth="1" min="4" max="4"/>
    <col width="13" customWidth="1" min="5" max="5"/>
    <col width="34" customWidth="1" min="6" max="6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A</t>
        </is>
      </c>
      <c r="D1" s="3" t="inlineStr">
        <is>
          <t>B</t>
        </is>
      </c>
      <c r="E1" s="3" t="inlineStr">
        <is>
          <t>C</t>
        </is>
      </c>
      <c r="F1" s="3" t="inlineStr">
        <is>
          <t>Комментарий</t>
        </is>
      </c>
    </row>
    <row r="2">
      <c r="A2" s="2" t="inlineStr">
        <is>
          <t>20 Проектирование и изыскания</t>
        </is>
      </c>
      <c r="B2" s="2" t="inlineStr">
        <is>
          <t>Инженерно-геологические изыскания на пятне (4 скважины по 15 м, лаборатория)</t>
        </is>
      </c>
      <c r="C2" s="4" t="n">
        <v>450000</v>
      </c>
      <c r="D2" s="4" t="n">
        <v>400000</v>
      </c>
      <c r="E2" s="4" t="n">
        <v>400000</v>
      </c>
      <c r="F2" s="2" t="inlineStr">
        <is>
          <t>до КР фундамента</t>
        </is>
      </c>
    </row>
    <row r="3">
      <c r="A3" s="2" t="inlineStr">
        <is>
          <t>20 Проектирование и изыскания</t>
        </is>
      </c>
      <c r="B3" s="2" t="inlineStr">
        <is>
          <t>Рабочая документация АР + КР (КЖ, КД) + ИОС + ПБ</t>
        </is>
      </c>
      <c r="C3" s="4" t="n">
        <v>3400000</v>
      </c>
      <c r="D3" s="4" t="n">
        <v>2900000</v>
      </c>
      <c r="E3" s="4" t="n">
        <v>2600000</v>
      </c>
      <c r="F3" s="2" t="inlineStr">
        <is>
          <t>3,0 тыс. ₽/м²</t>
        </is>
      </c>
    </row>
    <row r="4">
      <c r="A4" s="2" t="inlineStr">
        <is>
          <t>20 Проектирование и изыскания</t>
        </is>
      </c>
      <c r="B4" s="2" t="inlineStr">
        <is>
          <t>Авторский надзор архитектора и конструктора</t>
        </is>
      </c>
      <c r="C4" s="4" t="n">
        <v>450000</v>
      </c>
      <c r="D4" s="4" t="n">
        <v>350000</v>
      </c>
      <c r="E4" s="4" t="n">
        <v>300000</v>
      </c>
      <c r="F4" s="2" t="inlineStr">
        <is>
          <t>12 мес</t>
        </is>
      </c>
    </row>
    <row r="5">
      <c r="A5" s="2" t="inlineStr">
        <is>
          <t>20 Проектирование и изыскания</t>
        </is>
      </c>
      <c r="B5" s="2" t="inlineStr">
        <is>
          <t>Технический надзор заказчика (≈ 1,5 % СМР)</t>
        </is>
      </c>
      <c r="C5" s="4" t="n">
        <v>1900000</v>
      </c>
      <c r="D5" s="4" t="n">
        <v>1500000</v>
      </c>
      <c r="E5" s="4" t="n">
        <v>1300000</v>
      </c>
      <c r="F5" s="2" t="inlineStr">
        <is>
          <t>независимый</t>
        </is>
      </c>
    </row>
    <row r="6">
      <c r="A6" s="2" t="inlineStr">
        <is>
          <t>20 Проектирование и изыскания</t>
        </is>
      </c>
      <c r="B6" s="2" t="inlineStr">
        <is>
          <t>Негосударственная экспертиза КР и ПБ (добровольная)</t>
        </is>
      </c>
      <c r="C6" s="4" t="n">
        <v>450000</v>
      </c>
      <c r="D6" s="4" t="n">
        <v>400000</v>
      </c>
      <c r="E6" s="4" t="n">
        <v>0</v>
      </c>
      <c r="F6" s="2" t="inlineStr">
        <is>
          <t>рекомендуется</t>
        </is>
      </c>
    </row>
    <row r="7">
      <c r="A7" s="2" t="inlineStr">
        <is>
          <t>21 Право и регистрация</t>
        </is>
      </c>
      <c r="B7" s="2" t="inlineStr">
        <is>
          <t>Юрист: ВОЗ/прибрежная полоса, капитальность в 100-м зоне, ЗСО</t>
        </is>
      </c>
      <c r="C7" s="4" t="n">
        <v>350000</v>
      </c>
      <c r="D7" s="4" t="n">
        <v>300000</v>
      </c>
      <c r="E7" s="4" t="n">
        <v>300000</v>
      </c>
      <c r="F7" s="2" t="inlineStr">
        <is>
          <t>поручение Сычёву</t>
        </is>
      </c>
    </row>
    <row r="8">
      <c r="A8" s="2" t="inlineStr">
        <is>
          <t>21 Право и регистрация</t>
        </is>
      </c>
      <c r="B8" s="2" t="inlineStr">
        <is>
          <t>Техплан, постановка на кадастровый учёт, регистрация</t>
        </is>
      </c>
      <c r="C8" s="4" t="n">
        <v>90000</v>
      </c>
      <c r="D8" s="4" t="n">
        <v>90000</v>
      </c>
      <c r="E8" s="4" t="n">
        <v>90000</v>
      </c>
      <c r="F8" s="2" t="inlineStr">
        <is>
          <t>≈ 45 тыс. ₽ (19.10)</t>
        </is>
      </c>
    </row>
    <row r="9">
      <c r="A9" s="2" t="inlineStr">
        <is>
          <t>22 Наружные сети и благоустройство</t>
        </is>
      </c>
      <c r="B9" s="2" t="inlineStr">
        <is>
          <t>Подключение к посёлковым сетям: кабель 0,4 кВ, В1, К1, связь (≈ 80 м)</t>
        </is>
      </c>
      <c r="C9" s="4" t="n">
        <v>2200000</v>
      </c>
      <c r="D9" s="4" t="n">
        <v>1800000</v>
      </c>
      <c r="E9" s="4" t="n">
        <v>1800000</v>
      </c>
      <c r="F9" s="2" t="inlineStr">
        <is>
          <t>от точек посёлковых сетей</t>
        </is>
      </c>
    </row>
    <row r="10">
      <c r="A10" s="2" t="inlineStr">
        <is>
          <t>22 Наружные сети и благоустройство</t>
        </is>
      </c>
      <c r="B10" s="2" t="inlineStr">
        <is>
          <t>Площадки у ворот, гостевая парковка, навес, разворот (≈ 650 м² плитка/асфальт)</t>
        </is>
      </c>
      <c r="C10" s="4" t="n">
        <v>4200000</v>
      </c>
      <c r="D10" s="4" t="n">
        <v>3300000</v>
      </c>
      <c r="E10" s="4" t="n">
        <v>2200000</v>
      </c>
      <c r="F10" s="2" t="inlineStr">
        <is>
          <t>по генплану Спицыной</t>
        </is>
      </c>
    </row>
    <row r="11">
      <c r="A11" s="2" t="inlineStr">
        <is>
          <t>22 Наружные сети и благоустройство</t>
        </is>
      </c>
      <c r="B11" s="2" t="inlineStr">
        <is>
          <t>Ливневая канализация с ЛОС участка эллинга</t>
        </is>
      </c>
      <c r="C11" s="4" t="n">
        <v>900000</v>
      </c>
      <c r="D11" s="4" t="n">
        <v>800000</v>
      </c>
      <c r="E11" s="4" t="n">
        <v>800000</v>
      </c>
      <c r="F11" s="2" t="inlineStr">
        <is>
          <t>ВОЗ: очистка обязательна</t>
        </is>
      </c>
    </row>
    <row r="12">
      <c r="A12" s="2" t="inlineStr">
        <is>
          <t>22 Наружные сети и благоустройство</t>
        </is>
      </c>
      <c r="B12" s="2" t="inlineStr">
        <is>
          <t>Дорога эллинг — пирс (≈ 120 м, щебёночное/асфальт)</t>
        </is>
      </c>
      <c r="C12" s="4" t="n">
        <v>1500000</v>
      </c>
      <c r="D12" s="4" t="n">
        <v>1200000</v>
      </c>
      <c r="E12" s="4" t="n">
        <v>0</v>
      </c>
      <c r="F12" s="2" t="inlineStr">
        <is>
          <t>ПОЛ по :469 — до 30.11</t>
        </is>
      </c>
    </row>
    <row r="13">
      <c r="A13" s="2" t="inlineStr">
        <is>
          <t>23 Оснащение</t>
        </is>
      </c>
      <c r="B13" s="2" t="inlineStr">
        <is>
          <t>Оборудование спортзала (по ТЗ интересантов)</t>
        </is>
      </c>
      <c r="C13" s="4" t="n">
        <v>5000000</v>
      </c>
      <c r="D13" s="4" t="n">
        <v>4000000</v>
      </c>
      <c r="E13" s="4" t="n">
        <v>4000000</v>
      </c>
      <c r="F13" s="2" t="inlineStr">
        <is>
          <t>без лимита — оценка</t>
        </is>
      </c>
    </row>
    <row r="14">
      <c r="A14" s="2" t="inlineStr">
        <is>
          <t>23 Оснащение</t>
        </is>
      </c>
      <c r="B14" s="2" t="inlineStr">
        <is>
          <t>Мебель и техника: 14 спален, столовая, квартира управляющего, охрана, КПП</t>
        </is>
      </c>
      <c r="C14" s="4" t="n">
        <v>4000000</v>
      </c>
      <c r="D14" s="4" t="n">
        <v>2600000</v>
      </c>
      <c r="E14" s="4" t="n">
        <v>900000</v>
      </c>
      <c r="F14" s="2" t="inlineStr">
        <is>
          <t>C — КПП и охрана</t>
        </is>
      </c>
    </row>
    <row r="15">
      <c r="A15" s="2" t="inlineStr">
        <is>
          <t>23 Оснащение</t>
        </is>
      </c>
      <c r="B15" s="2" t="inlineStr">
        <is>
          <t>Прачечная, оборудование эллинга (лебёдка, стеллажи, тележки)</t>
        </is>
      </c>
      <c r="C15" s="4" t="n">
        <v>900000</v>
      </c>
      <c r="D15" s="4" t="n">
        <v>700000</v>
      </c>
      <c r="E15" s="4" t="n">
        <v>500000</v>
      </c>
      <c r="F15" s="2" t="inlineStr">
        <is>
          <t>рынок</t>
        </is>
      </c>
    </row>
    <row r="16">
      <c r="A16" s="2" t="inlineStr">
        <is>
          <t>24 Причал (вне здания)</t>
        </is>
      </c>
      <c r="B16" s="2" t="inlineStr">
        <is>
          <t>Слип для спуска катеров (по генплану ЭП), монолит ЖБ ≈ 6×20 м</t>
        </is>
      </c>
      <c r="C16" s="4" t="n">
        <v>2500000</v>
      </c>
      <c r="D16" s="4" t="n">
        <v>2000000</v>
      </c>
      <c r="E16" s="4" t="n">
        <v>0</v>
      </c>
      <c r="F16" s="2" t="inlineStr">
        <is>
          <t>прибрежная полоса — согласование</t>
        </is>
      </c>
    </row>
    <row r="17">
      <c r="A17" s="2" t="inlineStr">
        <is>
          <t>24 Причал (вне здания)</t>
        </is>
      </c>
      <c r="B17" s="2" t="inlineStr">
        <is>
          <t>Сборный понтон 2×(3×12 м) с трапом и швартовкой (база ГИМС)</t>
        </is>
      </c>
      <c r="C17" s="4" t="n">
        <v>5500000</v>
      </c>
      <c r="D17" s="4" t="n">
        <v>4500000</v>
      </c>
      <c r="E17" s="4" t="n">
        <v>0</v>
      </c>
      <c r="F17" s="2" t="inlineStr">
        <is>
          <t>не регистрируется; зимой лежит на дне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3" t="inlineStr">
        <is>
          <t>Раздел</t>
        </is>
      </c>
      <c r="B1" s="3" t="inlineStr">
        <is>
          <t>A</t>
        </is>
      </c>
      <c r="C1" s="3" t="inlineStr">
        <is>
          <t>B</t>
        </is>
      </c>
      <c r="D1" s="3" t="inlineStr">
        <is>
          <t>C</t>
        </is>
      </c>
      <c r="E1" s="3" t="inlineStr">
        <is>
          <t>B, ₽/м²</t>
        </is>
      </c>
    </row>
    <row r="2">
      <c r="A2" s="2" t="inlineStr">
        <is>
          <t>01 Подготовка территории</t>
        </is>
      </c>
      <c r="B2" s="4" t="n">
        <v>2110000</v>
      </c>
      <c r="C2" s="4" t="n">
        <v>1420000</v>
      </c>
      <c r="D2" s="4" t="n">
        <v>1420000</v>
      </c>
      <c r="E2" s="4" t="n">
        <v>1484</v>
      </c>
    </row>
    <row r="3">
      <c r="A3" s="2" t="inlineStr">
        <is>
          <t>02 Земляные работы</t>
        </is>
      </c>
      <c r="B3" s="4" t="n">
        <v>1017600</v>
      </c>
      <c r="C3" s="4" t="n">
        <v>896400</v>
      </c>
      <c r="D3" s="4" t="n">
        <v>896400</v>
      </c>
      <c r="E3" s="4" t="n">
        <v>937</v>
      </c>
    </row>
    <row r="4">
      <c r="A4" s="2" t="inlineStr">
        <is>
          <t>03 Фундамент</t>
        </is>
      </c>
      <c r="B4" s="4" t="n">
        <v>13417274</v>
      </c>
      <c r="C4" s="4" t="n">
        <v>8589733</v>
      </c>
      <c r="D4" s="4" t="n">
        <v>8589733</v>
      </c>
      <c r="E4" s="4" t="n">
        <v>8978</v>
      </c>
    </row>
    <row r="5">
      <c r="A5" s="2" t="inlineStr">
        <is>
          <t>04 Каркас и перекрытия</t>
        </is>
      </c>
      <c r="B5" s="4" t="n">
        <v>17068111</v>
      </c>
      <c r="C5" s="4" t="n">
        <v>13867962</v>
      </c>
      <c r="D5" s="4" t="n">
        <v>9140012</v>
      </c>
      <c r="E5" s="4" t="n">
        <v>14495</v>
      </c>
    </row>
    <row r="6">
      <c r="A6" s="2" t="inlineStr">
        <is>
          <t>05 Стены и перегородки</t>
        </is>
      </c>
      <c r="B6" s="4" t="n">
        <v>6578145</v>
      </c>
      <c r="C6" s="4" t="n">
        <v>6331510</v>
      </c>
      <c r="D6" s="4" t="n">
        <v>6331510</v>
      </c>
      <c r="E6" s="4" t="n">
        <v>6618</v>
      </c>
    </row>
    <row r="7">
      <c r="A7" s="2" t="inlineStr">
        <is>
          <t>06 Кровля</t>
        </is>
      </c>
      <c r="B7" s="4" t="n">
        <v>10871960</v>
      </c>
      <c r="C7" s="4" t="n">
        <v>10407270</v>
      </c>
      <c r="D7" s="4" t="n">
        <v>9959240</v>
      </c>
      <c r="E7" s="4" t="n">
        <v>10878</v>
      </c>
    </row>
    <row r="8">
      <c r="A8" s="2" t="inlineStr">
        <is>
          <t>07 Фасады</t>
        </is>
      </c>
      <c r="B8" s="4" t="n">
        <v>14871000</v>
      </c>
      <c r="C8" s="4" t="n">
        <v>12731000</v>
      </c>
      <c r="D8" s="4" t="n">
        <v>12449000</v>
      </c>
      <c r="E8" s="4" t="n">
        <v>13306</v>
      </c>
    </row>
    <row r="9">
      <c r="A9" s="2" t="inlineStr">
        <is>
          <t>08 Окна, витражи, ворота</t>
        </is>
      </c>
      <c r="B9" s="4" t="n">
        <v>10707720</v>
      </c>
      <c r="C9" s="4" t="n">
        <v>8046000</v>
      </c>
      <c r="D9" s="4" t="n">
        <v>7675360</v>
      </c>
      <c r="E9" s="4" t="n">
        <v>8410</v>
      </c>
    </row>
    <row r="10">
      <c r="A10" s="2" t="inlineStr">
        <is>
          <t>09 Наружные МК</t>
        </is>
      </c>
      <c r="B10" s="4" t="n">
        <v>2750000</v>
      </c>
      <c r="C10" s="4" t="n">
        <v>2050000</v>
      </c>
      <c r="D10" s="4" t="n">
        <v>1750000</v>
      </c>
      <c r="E10" s="4" t="n">
        <v>2143</v>
      </c>
    </row>
    <row r="11">
      <c r="A11" s="2" t="inlineStr">
        <is>
          <t>10 Отделка черновая</t>
        </is>
      </c>
      <c r="B11" s="4" t="n">
        <v>10907064</v>
      </c>
      <c r="C11" s="4" t="n">
        <v>7080696</v>
      </c>
      <c r="D11" s="4" t="n">
        <v>6966000</v>
      </c>
      <c r="E11" s="4" t="n">
        <v>7401</v>
      </c>
    </row>
    <row r="12">
      <c r="A12" s="2" t="inlineStr">
        <is>
          <t>11 Отделка чистовая</t>
        </is>
      </c>
      <c r="B12" s="4" t="n">
        <v>24818726</v>
      </c>
      <c r="C12" s="4" t="n">
        <v>12258600</v>
      </c>
      <c r="D12" s="4" t="n">
        <v>5328000</v>
      </c>
      <c r="E12" s="4" t="n">
        <v>12813</v>
      </c>
    </row>
    <row r="13">
      <c r="A13" s="2" t="inlineStr">
        <is>
          <t>12 Отопление (ОВ)</t>
        </is>
      </c>
      <c r="B13" s="4" t="n">
        <v>7237544</v>
      </c>
      <c r="C13" s="4" t="n">
        <v>6099212</v>
      </c>
      <c r="D13" s="4" t="n">
        <v>5999212</v>
      </c>
      <c r="E13" s="4" t="n">
        <v>6375</v>
      </c>
    </row>
    <row r="14">
      <c r="A14" s="2" t="inlineStr">
        <is>
          <t>13 Водоснабжение и канализация (ВК)</t>
        </is>
      </c>
      <c r="B14" s="4" t="n">
        <v>4573788</v>
      </c>
      <c r="C14" s="4" t="n">
        <v>3662436</v>
      </c>
      <c r="D14" s="4" t="n">
        <v>3016760</v>
      </c>
      <c r="E14" s="4" t="n">
        <v>3828</v>
      </c>
    </row>
    <row r="15">
      <c r="A15" s="2" t="inlineStr">
        <is>
          <t>14 Вентиляция и кондиционирование (ОВК)</t>
        </is>
      </c>
      <c r="B15" s="4" t="n">
        <v>8900000</v>
      </c>
      <c r="C15" s="4" t="n">
        <v>6250000</v>
      </c>
      <c r="D15" s="4" t="n">
        <v>5050000</v>
      </c>
      <c r="E15" s="4" t="n">
        <v>6532</v>
      </c>
    </row>
    <row r="16">
      <c r="A16" s="2" t="inlineStr">
        <is>
          <t>15 Электроснабжение и освещение (ЭОМ)</t>
        </is>
      </c>
      <c r="B16" s="4" t="n">
        <v>6974068</v>
      </c>
      <c r="C16" s="4" t="n">
        <v>5537308</v>
      </c>
      <c r="D16" s="4" t="n">
        <v>4187576</v>
      </c>
      <c r="E16" s="4" t="n">
        <v>5788</v>
      </c>
    </row>
    <row r="17">
      <c r="A17" s="2" t="inlineStr">
        <is>
          <t>16 Слаботочные системы и пожарная безопасность (СС, ПБ)</t>
        </is>
      </c>
      <c r="B17" s="4" t="n">
        <v>4867570</v>
      </c>
      <c r="C17" s="4" t="n">
        <v>3571894</v>
      </c>
      <c r="D17" s="4" t="n">
        <v>3171894</v>
      </c>
      <c r="E17" s="4" t="n">
        <v>3733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Площади помещений — по экспликациям финального ЭП от 23.10.2026: 1 этаж 420,04 м², 2 этаж 536,72 м², итого 956,76 м² (ТЭП); площадь застройки 490 м².</t>
        </is>
      </c>
    </row>
    <row r="2">
      <c r="A2" t="inlineStr">
        <is>
          <t>Объёмы конструкций — по листу 2.34 «Ведомости» финального ЭП: перекрытия, кладка, кровли, фронтоны, фасады, окна ПВХ.</t>
        </is>
      </c>
    </row>
    <row r="3">
      <c r="A3" t="inlineStr">
        <is>
          <t>Площадь алюминиевых витражей в ЭП не указана (только высота 4 750 мм) — принята 170,64 м² из предварительной сметы ЭП, уточнить у архитектора.</t>
        </is>
      </c>
    </row>
    <row r="4">
      <c r="A4" t="inlineStr">
        <is>
          <t>Высоты: 2 этаж на отметке +4,020, карниз ≈ +7,4, конёк +10,333; уклон скатной кровли 10°.</t>
        </is>
      </c>
    </row>
    <row r="5">
      <c r="A5" t="inlineStr">
        <is>
          <t>Ворота: 4 одинарных бокса 3,5×2,6 м, 2 двойных бокса 5,5×2,6 м, эллинг на два катера 5,5×3,6 м — размеры в ЭП не указаны, уточнить по ведомости проёмов.</t>
        </is>
      </c>
    </row>
    <row r="6">
      <c r="A6" t="inlineStr">
        <is>
          <t>Несущие колонны 1 этажа в ЭП — металлические. В сценариях B и C заложена замена на монолитные ЖБ 400×400 (огнестойкость R150 над стоянкой без огнезащиты); в A — сталь с огнезащитой R150.</t>
        </is>
      </c>
    </row>
    <row r="7">
      <c r="A7" t="inlineStr">
        <is>
          <t>Геологии на пятне нет. Принят суглинок/глина ≈ 3 м по данным совещания 05.10 и ИГИ участков; несущая способность сваи 380 кН — до испытаний.</t>
        </is>
      </c>
    </row>
    <row r="8">
      <c r="A8" t="inlineStr">
        <is>
          <t>Газа нет до 2028 г.; основной источник тепла — пеллеты с резервным электрокотлом, переход на газ заложен (как в доме «Ромарио»).</t>
        </is>
      </c>
    </row>
    <row r="9">
      <c r="A9" t="inlineStr">
        <is>
          <t>Цены — Москва и МО, IV кв. 2026, с НДС, «под ключ» (материал + работа + доставка + накладные подрядчика).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2026-10-24T08:22:10Z</dcterms:created>
  <dcterms:modified xmlns:dcterms="http://purl.org/dc/terms/" xmlns:xsi="http://www.w3.org/2001/XMLSchema-instance" xsi:type="dcterms:W3CDTF">2026-10-24T08:22:10Z</dcterms:modified>
</cp:coreProperties>
</file>