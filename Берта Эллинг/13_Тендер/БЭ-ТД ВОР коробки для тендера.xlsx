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Р короб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E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62" customWidth="1" min="3" max="3"/>
    <col width="7" customWidth="1" min="4" max="4"/>
    <col width="10" customWidth="1" min="5" max="5"/>
    <col width="14" customWidth="1" min="6" max="6"/>
    <col width="14" customWidth="1" min="7" max="7"/>
    <col width="15" customWidth="1" min="8" max="8"/>
    <col width="24" customWidth="1" min="9" max="9"/>
  </cols>
  <sheetData>
    <row r="1">
      <c r="A1" s="1" t="inlineStr">
        <is>
          <t>Ведомость объёмов работ — коробка эллинга (для тендера среди монолитных подрядчиков)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Подрядчик заполняет цены материалов и работ; объёмы — по ЭП, уточняются по КР. Сроки и условия — в ТЗ.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№</t>
        </is>
      </c>
      <c r="B3" s="3" t="inlineStr">
        <is>
          <t>Раздел</t>
        </is>
      </c>
      <c r="C3" s="3" t="inlineStr">
        <is>
          <t>Наименование работ</t>
        </is>
      </c>
      <c r="D3" s="3" t="inlineStr">
        <is>
          <t>Ед.</t>
        </is>
      </c>
      <c r="E3" s="3" t="inlineStr">
        <is>
          <t>Кол-во</t>
        </is>
      </c>
      <c r="F3" s="3" t="inlineStr">
        <is>
          <t>Цена материалов</t>
        </is>
      </c>
      <c r="G3" s="3" t="inlineStr">
        <is>
          <t>Цена работ</t>
        </is>
      </c>
      <c r="H3" s="3" t="inlineStr">
        <is>
          <t>Сумма</t>
        </is>
      </c>
      <c r="I3" s="3" t="inlineStr">
        <is>
          <t>Примечание</t>
        </is>
      </c>
    </row>
    <row r="4">
      <c r="A4" s="2" t="n">
        <v>1</v>
      </c>
      <c r="B4" s="2" t="inlineStr">
        <is>
          <t>01 Подготовка территории</t>
        </is>
      </c>
      <c r="C4" s="2" t="inlineStr">
        <is>
          <t>Бытовки, временные сети, ограждение, охрана на период стройки</t>
        </is>
      </c>
      <c r="D4" s="2" t="inlineStr">
        <is>
          <t>мес</t>
        </is>
      </c>
      <c r="E4" s="2" t="n">
        <v>12</v>
      </c>
      <c r="F4" s="2" t="n"/>
      <c r="G4" s="2" t="n"/>
      <c r="H4" s="2">
        <f>E4*(F4+G4)</f>
        <v/>
      </c>
      <c r="I4" s="2" t="inlineStr"/>
    </row>
    <row r="5">
      <c r="A5" s="2" t="n">
        <v>2</v>
      </c>
      <c r="B5" s="2" t="inlineStr">
        <is>
          <t>01 Подготовка территории</t>
        </is>
      </c>
      <c r="C5" s="2" t="inlineStr">
        <is>
          <t>Геодезическая разбивка и исполнительные съёмки</t>
        </is>
      </c>
      <c r="D5" s="2" t="inlineStr">
        <is>
          <t>компл</t>
        </is>
      </c>
      <c r="E5" s="2" t="n">
        <v>1</v>
      </c>
      <c r="F5" s="2" t="n"/>
      <c r="G5" s="2" t="n"/>
      <c r="H5" s="2">
        <f>E5*(F5+G5)</f>
        <v/>
      </c>
      <c r="I5" s="2" t="inlineStr"/>
    </row>
    <row r="6">
      <c r="A6" s="2" t="n">
        <v>3</v>
      </c>
      <c r="B6" s="2" t="inlineStr">
        <is>
          <t>01 Подготовка территории</t>
        </is>
      </c>
      <c r="C6" s="2" t="inlineStr">
        <is>
          <t>Вывоз мусора, уборка площадки</t>
        </is>
      </c>
      <c r="D6" s="2" t="inlineStr">
        <is>
          <t>мес</t>
        </is>
      </c>
      <c r="E6" s="2" t="n">
        <v>12</v>
      </c>
      <c r="F6" s="2" t="n"/>
      <c r="G6" s="2" t="n"/>
      <c r="H6" s="2">
        <f>E6*(F6+G6)</f>
        <v/>
      </c>
      <c r="I6" s="2" t="inlineStr"/>
    </row>
    <row r="7">
      <c r="A7" s="2" t="n">
        <v>4</v>
      </c>
      <c r="B7" s="2" t="inlineStr">
        <is>
          <t>02 Земляные работы</t>
        </is>
      </c>
      <c r="C7" s="2" t="inlineStr">
        <is>
          <t>Срезка растительного слоя и глины 0,3 м с вывозом</t>
        </is>
      </c>
      <c r="D7" s="2" t="inlineStr">
        <is>
          <t>м³</t>
        </is>
      </c>
      <c r="E7" s="2" t="n">
        <v>208</v>
      </c>
      <c r="F7" s="2" t="n"/>
      <c r="G7" s="2" t="n"/>
      <c r="H7" s="2">
        <f>E7*(F7+G7)</f>
        <v/>
      </c>
      <c r="I7" s="2" t="inlineStr"/>
    </row>
    <row r="8">
      <c r="A8" s="2" t="n">
        <v>5</v>
      </c>
      <c r="B8" s="2" t="inlineStr">
        <is>
          <t>02 Земляные работы</t>
        </is>
      </c>
      <c r="C8" s="2" t="inlineStr">
        <is>
          <t>Песчаная подушка 0,5 м с послойным уплотнением</t>
        </is>
      </c>
      <c r="D8" s="2" t="inlineStr">
        <is>
          <t>м³</t>
        </is>
      </c>
      <c r="E8" s="2" t="n">
        <v>308</v>
      </c>
      <c r="F8" s="2" t="n"/>
      <c r="G8" s="2" t="n"/>
      <c r="H8" s="2">
        <f>E8*(F8+G8)</f>
        <v/>
      </c>
      <c r="I8" s="2" t="inlineStr"/>
    </row>
    <row r="9">
      <c r="A9" s="2" t="n">
        <v>6</v>
      </c>
      <c r="B9" s="2" t="inlineStr">
        <is>
          <t>02 Земляные работы</t>
        </is>
      </c>
      <c r="C9" s="2" t="inlineStr">
        <is>
          <t>Обратная засыпка пазух, планировка</t>
        </is>
      </c>
      <c r="D9" s="2" t="inlineStr">
        <is>
          <t>м³</t>
        </is>
      </c>
      <c r="E9" s="2" t="n">
        <v>180</v>
      </c>
      <c r="F9" s="2" t="n"/>
      <c r="G9" s="2" t="n"/>
      <c r="H9" s="2">
        <f>E9*(F9+G9)</f>
        <v/>
      </c>
      <c r="I9" s="2" t="inlineStr"/>
    </row>
    <row r="10">
      <c r="A10" s="2" t="n">
        <v>7</v>
      </c>
      <c r="B10" s="2" t="inlineStr">
        <is>
          <t>03 Фундамент</t>
        </is>
      </c>
      <c r="C10" s="2" t="inlineStr">
        <is>
          <t>Сваи ЖБ С80.30 (8 м) с забивкой, 82 шт.</t>
        </is>
      </c>
      <c r="D10" s="2" t="inlineStr">
        <is>
          <t>шт</t>
        </is>
      </c>
      <c r="E10" s="2" t="n">
        <v>82</v>
      </c>
      <c r="F10" s="2" t="n"/>
      <c r="G10" s="2" t="n"/>
      <c r="H10" s="2">
        <f>E10*(F10+G10)</f>
        <v/>
      </c>
      <c r="I10" s="2" t="inlineStr"/>
    </row>
    <row r="11">
      <c r="A11" s="2" t="n">
        <v>8</v>
      </c>
      <c r="B11" s="2" t="inlineStr">
        <is>
          <t>03 Фундамент</t>
        </is>
      </c>
      <c r="C11" s="2" t="inlineStr">
        <is>
          <t>Испытания свай статической и динамической нагрузкой</t>
        </is>
      </c>
      <c r="D11" s="2" t="inlineStr">
        <is>
          <t>компл</t>
        </is>
      </c>
      <c r="E11" s="2" t="n">
        <v>1</v>
      </c>
      <c r="F11" s="2" t="n"/>
      <c r="G11" s="2" t="n"/>
      <c r="H11" s="2">
        <f>E11*(F11+G11)</f>
        <v/>
      </c>
      <c r="I11" s="2" t="inlineStr"/>
    </row>
    <row r="12">
      <c r="A12" s="2" t="n">
        <v>9</v>
      </c>
      <c r="B12" s="2" t="inlineStr">
        <is>
          <t>03 Фундамент</t>
        </is>
      </c>
      <c r="C12" s="2" t="inlineStr">
        <is>
          <t>Подбетонка В7,5 80 мм</t>
        </is>
      </c>
      <c r="D12" s="2" t="inlineStr">
        <is>
          <t>м²</t>
        </is>
      </c>
      <c r="E12" s="2" t="n">
        <v>513.1900000000001</v>
      </c>
      <c r="F12" s="2" t="n"/>
      <c r="G12" s="2" t="n"/>
      <c r="H12" s="2">
        <f>E12*(F12+G12)</f>
        <v/>
      </c>
      <c r="I12" s="2" t="inlineStr"/>
    </row>
    <row r="13">
      <c r="A13" s="2" t="n">
        <v>10</v>
      </c>
      <c r="B13" s="2" t="inlineStr">
        <is>
          <t>03 Фундамент</t>
        </is>
      </c>
      <c r="C13" s="2" t="inlineStr">
        <is>
          <t>Гидроизоляция под плиту и по торцам (2 слоя наплавляемая)</t>
        </is>
      </c>
      <c r="D13" s="2" t="inlineStr">
        <is>
          <t>м²</t>
        </is>
      </c>
      <c r="E13" s="2" t="n">
        <v>590</v>
      </c>
      <c r="F13" s="2" t="n"/>
      <c r="G13" s="2" t="n"/>
      <c r="H13" s="2">
        <f>E13*(F13+G13)</f>
        <v/>
      </c>
      <c r="I13" s="2" t="inlineStr"/>
    </row>
    <row r="14">
      <c r="A14" s="2" t="n">
        <v>11</v>
      </c>
      <c r="B14" s="2" t="inlineStr">
        <is>
          <t>03 Фундамент</t>
        </is>
      </c>
      <c r="C14" s="2" t="inlineStr">
        <is>
          <t>ЭППС 100 мм под плитой и по периметру</t>
        </is>
      </c>
      <c r="D14" s="2" t="inlineStr">
        <is>
          <t>м²</t>
        </is>
      </c>
      <c r="E14" s="2" t="n">
        <v>565</v>
      </c>
      <c r="F14" s="2" t="n"/>
      <c r="G14" s="2" t="n"/>
      <c r="H14" s="2">
        <f>E14*(F14+G14)</f>
        <v/>
      </c>
      <c r="I14" s="2" t="inlineStr"/>
    </row>
    <row r="15">
      <c r="A15" s="2" t="n">
        <v>12</v>
      </c>
      <c r="B15" s="2" t="inlineStr">
        <is>
          <t>03 Фундамент</t>
        </is>
      </c>
      <c r="C15" s="2" t="inlineStr">
        <is>
          <t>Монолитная плита 300 мм на сваях, В25 W8 F150, А500 ≈ 115 кг/м³ (пол 1 этажа)</t>
        </is>
      </c>
      <c r="D15" s="2" t="inlineStr">
        <is>
          <t>м³</t>
        </is>
      </c>
      <c r="E15" s="2" t="n">
        <v>154</v>
      </c>
      <c r="F15" s="2" t="n"/>
      <c r="G15" s="2" t="n"/>
      <c r="H15" s="2">
        <f>E15*(F15+G15)</f>
        <v/>
      </c>
      <c r="I15" s="2" t="inlineStr"/>
    </row>
    <row r="16">
      <c r="A16" s="2" t="n">
        <v>13</v>
      </c>
      <c r="B16" s="2" t="inlineStr">
        <is>
          <t>03 Фундамент</t>
        </is>
      </c>
      <c r="C16" s="2" t="inlineStr">
        <is>
          <t>Закладные, гильзы, выпуски (по ведомости закладных)</t>
        </is>
      </c>
      <c r="D16" s="2" t="inlineStr">
        <is>
          <t>компл</t>
        </is>
      </c>
      <c r="E16" s="2" t="n">
        <v>1</v>
      </c>
      <c r="F16" s="2" t="n"/>
      <c r="G16" s="2" t="n"/>
      <c r="H16" s="2">
        <f>E16*(F16+G16)</f>
        <v/>
      </c>
      <c r="I16" s="2" t="inlineStr"/>
    </row>
    <row r="17">
      <c r="A17" s="2" t="n">
        <v>14</v>
      </c>
      <c r="B17" s="2" t="inlineStr">
        <is>
          <t>04 Каркас и перекрытия</t>
        </is>
      </c>
      <c r="C17" s="2" t="inlineStr">
        <is>
          <t>Колонны 1 этажа: стальные по ЭП с огнезащитой R150 (A) / монолит ЖБ 400×400 (B, C)</t>
        </is>
      </c>
      <c r="D17" s="2" t="inlineStr">
        <is>
          <t>шт</t>
        </is>
      </c>
      <c r="E17" s="2" t="n">
        <v>14</v>
      </c>
      <c r="F17" s="2" t="n"/>
      <c r="G17" s="2" t="n"/>
      <c r="H17" s="2">
        <f>E17*(F17+G17)</f>
        <v/>
      </c>
      <c r="I17" s="2" t="inlineStr"/>
    </row>
    <row r="18">
      <c r="A18" s="2" t="n">
        <v>15</v>
      </c>
      <c r="B18" s="2" t="inlineStr">
        <is>
          <t>04 Каркас и перекрытия</t>
        </is>
      </c>
      <c r="C18" s="2" t="inlineStr">
        <is>
          <t>Перекрытие 1 этажа и под плоскую кровлю: монолит ЖБ ребристое, плита 250/200 (A, B) / ПБ + монолитные участки (C)</t>
        </is>
      </c>
      <c r="D18" s="2" t="inlineStr">
        <is>
          <t>м²</t>
        </is>
      </c>
      <c r="E18" s="2" t="n">
        <v>945.59</v>
      </c>
      <c r="F18" s="2" t="n"/>
      <c r="G18" s="2" t="n"/>
      <c r="H18" s="2">
        <f>E18*(F18+G18)</f>
        <v/>
      </c>
      <c r="I18" s="2" t="inlineStr"/>
    </row>
    <row r="19">
      <c r="A19" s="2" t="n">
        <v>16</v>
      </c>
      <c r="B19" s="2" t="inlineStr">
        <is>
          <t>04 Каркас и перекрытия</t>
        </is>
      </c>
      <c r="C19" s="2" t="inlineStr">
        <is>
          <t>Армопояса, перемычки, монолитные участки</t>
        </is>
      </c>
      <c r="D19" s="2" t="inlineStr">
        <is>
          <t>м³</t>
        </is>
      </c>
      <c r="E19" s="2" t="n">
        <v>40</v>
      </c>
      <c r="F19" s="2" t="n"/>
      <c r="G19" s="2" t="n"/>
      <c r="H19" s="2">
        <f>E19*(F19+G19)</f>
        <v/>
      </c>
      <c r="I19" s="2" t="inlineStr"/>
    </row>
    <row r="20">
      <c r="A20" s="2" t="n">
        <v>17</v>
      </c>
      <c r="B20" s="2" t="inlineStr">
        <is>
          <t>04 Каркас и перекрытия</t>
        </is>
      </c>
      <c r="C20" s="2" t="inlineStr">
        <is>
          <t>Монолитная лестница 010 с ограждением</t>
        </is>
      </c>
      <c r="D20" s="2" t="inlineStr">
        <is>
          <t>компл</t>
        </is>
      </c>
      <c r="E20" s="2" t="n">
        <v>1</v>
      </c>
      <c r="F20" s="2" t="n"/>
      <c r="G20" s="2" t="n"/>
      <c r="H20" s="2">
        <f>E20*(F20+G20)</f>
        <v/>
      </c>
      <c r="I20" s="2" t="inlineStr"/>
    </row>
    <row r="21">
      <c r="A21" s="2" t="n">
        <v>18</v>
      </c>
      <c r="B21" s="2" t="inlineStr">
        <is>
          <t>05 Стены и перегородки</t>
        </is>
      </c>
      <c r="C21" s="2" t="inlineStr">
        <is>
          <t>Наружные стены газобетон D400 400 мм (блок, клей, армирование, кладка)</t>
        </is>
      </c>
      <c r="D21" s="2" t="inlineStr">
        <is>
          <t>м³</t>
        </is>
      </c>
      <c r="E21" s="2" t="n">
        <v>257.56</v>
      </c>
      <c r="F21" s="2" t="n"/>
      <c r="G21" s="2" t="n"/>
      <c r="H21" s="2">
        <f>E21*(F21+G21)</f>
        <v/>
      </c>
      <c r="I21" s="2" t="inlineStr"/>
    </row>
    <row r="22">
      <c r="A22" s="2" t="n">
        <v>19</v>
      </c>
      <c r="B22" s="2" t="inlineStr">
        <is>
          <t>05 Стены и перегородки</t>
        </is>
      </c>
      <c r="C22" s="2" t="inlineStr">
        <is>
          <t>Внутренние стены газобетон 300 мм</t>
        </is>
      </c>
      <c r="D22" s="2" t="inlineStr">
        <is>
          <t>м³</t>
        </is>
      </c>
      <c r="E22" s="2" t="n">
        <v>147.21</v>
      </c>
      <c r="F22" s="2" t="n"/>
      <c r="G22" s="2" t="n"/>
      <c r="H22" s="2">
        <f>E22*(F22+G22)</f>
        <v/>
      </c>
      <c r="I22" s="2" t="inlineStr"/>
    </row>
    <row r="23">
      <c r="A23" s="2" t="n">
        <v>20</v>
      </c>
      <c r="B23" s="2" t="inlineStr">
        <is>
          <t>05 Стены и перегородки</t>
        </is>
      </c>
      <c r="C23" s="2" t="inlineStr">
        <is>
          <t>Перегородки газобетон 150 мм</t>
        </is>
      </c>
      <c r="D23" s="2" t="inlineStr">
        <is>
          <t>м³</t>
        </is>
      </c>
      <c r="E23" s="2" t="n">
        <v>44.25</v>
      </c>
      <c r="F23" s="2" t="n"/>
      <c r="G23" s="2" t="n"/>
      <c r="H23" s="2">
        <f>E23*(F23+G23)</f>
        <v/>
      </c>
      <c r="I23" s="2" t="inlineStr"/>
    </row>
    <row r="24">
      <c r="A24" s="2" t="n">
        <v>21</v>
      </c>
      <c r="B24" s="2" t="inlineStr">
        <is>
          <t>05 Стены и перегородки</t>
        </is>
      </c>
      <c r="C24" s="2" t="inlineStr">
        <is>
          <t>Противопожарные стены гараж/лестница, тамбур-шлюз (EI 150, двери EI 60)</t>
        </is>
      </c>
      <c r="D24" s="2" t="inlineStr">
        <is>
          <t>компл</t>
        </is>
      </c>
      <c r="E24" s="2" t="n">
        <v>1</v>
      </c>
      <c r="F24" s="2" t="n"/>
      <c r="G24" s="2" t="n"/>
      <c r="H24" s="2">
        <f>E24*(F24+G24)</f>
        <v/>
      </c>
      <c r="I24" s="2" t="inlineStr"/>
    </row>
    <row r="25">
      <c r="A25" s="2" t="n">
        <v>22</v>
      </c>
      <c r="B25" s="2" t="inlineStr">
        <is>
          <t>06 Кровля</t>
        </is>
      </c>
      <c r="C25" s="2" t="inlineStr">
        <is>
          <t>Чердачное перекрытие деревянное утеплённое 250 мм</t>
        </is>
      </c>
      <c r="D25" s="2" t="inlineStr">
        <is>
          <t>м²</t>
        </is>
      </c>
      <c r="E25" s="2" t="n">
        <v>353.6</v>
      </c>
      <c r="F25" s="2" t="n"/>
      <c r="G25" s="2" t="n"/>
      <c r="H25" s="2">
        <f>E25*(F25+G25)</f>
        <v/>
      </c>
      <c r="I25" s="2" t="inlineStr"/>
    </row>
    <row r="26">
      <c r="A26" s="2" t="n">
        <v>23</v>
      </c>
      <c r="B26" s="2" t="inlineStr">
        <is>
          <t>06 Кровля</t>
        </is>
      </c>
      <c r="C26" s="2" t="inlineStr">
        <is>
          <t>Скатная кровля 10°: стропила, ОСП, мембраны, Кликфальц Pro, водосток, снегозадержание</t>
        </is>
      </c>
      <c r="D26" s="2" t="inlineStr">
        <is>
          <t>м²</t>
        </is>
      </c>
      <c r="E26" s="2" t="n">
        <v>448.03</v>
      </c>
      <c r="F26" s="2" t="n"/>
      <c r="G26" s="2" t="n"/>
      <c r="H26" s="2">
        <f>E26*(F26+G26)</f>
        <v/>
      </c>
      <c r="I26" s="2" t="inlineStr"/>
    </row>
    <row r="27">
      <c r="A27" s="2" t="n">
        <v>24</v>
      </c>
      <c r="B27" s="2" t="inlineStr">
        <is>
          <t>06 Кровля</t>
        </is>
      </c>
      <c r="C27" s="2" t="inlineStr">
        <is>
          <t>Плоская кровля неэксплуатируемая: уклоны, утепление XPS 200, мембрана, примыкания</t>
        </is>
      </c>
      <c r="D27" s="2" t="inlineStr">
        <is>
          <t>м²</t>
        </is>
      </c>
      <c r="E27" s="2" t="n">
        <v>339.91</v>
      </c>
      <c r="F27" s="2" t="n"/>
      <c r="G27" s="2" t="n"/>
      <c r="H27" s="2">
        <f>E27*(F27+G27)</f>
        <v/>
      </c>
      <c r="I27" s="2" t="inlineStr"/>
    </row>
    <row r="28">
      <c r="A28" s="2" t="n">
        <v>25</v>
      </c>
      <c r="B28" s="2" t="inlineStr">
        <is>
          <t>06 Кровля</t>
        </is>
      </c>
      <c r="C28" s="2" t="inlineStr">
        <is>
          <t>Каркасные стены чердака (фронтоны) 200 мм с фальцем</t>
        </is>
      </c>
      <c r="D28" s="2" t="inlineStr">
        <is>
          <t>м²</t>
        </is>
      </c>
      <c r="E28" s="2" t="n">
        <v>51.72</v>
      </c>
      <c r="F28" s="2" t="n"/>
      <c r="G28" s="2" t="n"/>
      <c r="H28" s="2">
        <f>E28*(F28+G28)</f>
        <v/>
      </c>
      <c r="I28" s="2" t="inlineStr"/>
    </row>
    <row r="29">
      <c r="A29" s="2" t="inlineStr"/>
      <c r="B29" s="2" t="inlineStr"/>
      <c r="C29" s="2" t="inlineStr">
        <is>
          <t>ИТОГО</t>
        </is>
      </c>
      <c r="D29" s="2" t="inlineStr"/>
      <c r="E29" s="2" t="inlineStr"/>
      <c r="F29" s="2" t="inlineStr"/>
      <c r="G29" s="2" t="inlineStr"/>
      <c r="H29" s="2">
        <f>SUM(H4:H28)</f>
        <v/>
      </c>
      <c r="I2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2026-10-24T08:22:10Z</dcterms:created>
  <dcterms:modified xmlns:dcterms="http://purl.org/dc/terms/" xmlns:xsi="http://www.w3.org/2001/XMLSchema-instance" xsi:type="dcterms:W3CDTF">2026-10-24T08:22:10Z</dcterms:modified>
</cp:coreProperties>
</file>