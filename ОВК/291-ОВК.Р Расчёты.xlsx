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здухообмен" sheetId="1" state="visible" r:id="rId1"/>
    <sheet xmlns:r="http://schemas.openxmlformats.org/officeDocument/2006/relationships" name="Системы" sheetId="2" state="visible" r:id="rId2"/>
    <sheet xmlns:r="http://schemas.openxmlformats.org/officeDocument/2006/relationships" name="Кондиционирование" sheetId="3" state="visible" r:id="rId3"/>
    <sheet xmlns:r="http://schemas.openxmlformats.org/officeDocument/2006/relationships" name="Специфика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2" customWidth="1" min="3" max="3"/>
    <col width="8" customWidth="1" min="4" max="4"/>
    <col width="7" customWidth="1" min="5" max="5"/>
    <col width="9" customWidth="1" min="6" max="6"/>
    <col width="11" customWidth="1" min="7" max="7"/>
    <col width="9" customWidth="1" min="8" max="8"/>
    <col width="11" customWidth="1" min="9" max="9"/>
    <col width="9" customWidth="1" min="10" max="10"/>
    <col width="10" customWidth="1" min="11" max="11"/>
    <col width="10" customWidth="1" min="12" max="12"/>
    <col width="50" customWidth="1" min="13" max="13"/>
  </cols>
  <sheetData>
    <row r="1">
      <c r="A1" s="1" t="inlineStr">
        <is>
          <t>Этаж</t>
        </is>
      </c>
      <c r="B1" s="1" t="inlineStr">
        <is>
          <t>№</t>
        </is>
      </c>
      <c r="C1" s="1" t="inlineStr">
        <is>
          <t>Помещение</t>
        </is>
      </c>
      <c r="D1" s="1" t="inlineStr">
        <is>
          <t>S, м²</t>
        </is>
      </c>
      <c r="E1" s="1" t="inlineStr">
        <is>
          <t>h, м</t>
        </is>
      </c>
      <c r="F1" s="1" t="inlineStr">
        <is>
          <t>V, м³</t>
        </is>
      </c>
      <c r="G1" s="1" t="inlineStr">
        <is>
          <t>Приток, м³/ч</t>
        </is>
      </c>
      <c r="H1" s="1" t="inlineStr">
        <is>
          <t>Система</t>
        </is>
      </c>
      <c r="I1" s="1" t="inlineStr">
        <is>
          <t>Вытяжка, м³/ч</t>
        </is>
      </c>
      <c r="J1" s="1" t="inlineStr">
        <is>
          <t>Система</t>
        </is>
      </c>
      <c r="K1" s="1" t="inlineStr">
        <is>
          <t>Кратность притока</t>
        </is>
      </c>
      <c r="L1" s="1" t="inlineStr">
        <is>
          <t>Кратность вытяжки</t>
        </is>
      </c>
      <c r="M1" s="1" t="inlineStr">
        <is>
          <t>Обоснование</t>
        </is>
      </c>
    </row>
    <row r="2">
      <c r="A2" s="2" t="n">
        <v>1</v>
      </c>
      <c r="B2" s="2" t="n">
        <v>1</v>
      </c>
      <c r="C2" s="2" t="inlineStr">
        <is>
          <t>Парадное крыльцо</t>
        </is>
      </c>
      <c r="D2" s="2" t="n">
        <v>7.02</v>
      </c>
      <c r="E2" s="2" t="n">
        <v>3.7</v>
      </c>
      <c r="F2" s="3">
        <f>D2*E2</f>
        <v/>
      </c>
      <c r="G2" s="2" t="n">
        <v>0</v>
      </c>
      <c r="H2" s="2" t="inlineStr"/>
      <c r="I2" s="2" t="n">
        <v>0</v>
      </c>
      <c r="J2" s="2" t="inlineStr"/>
      <c r="K2" s="4">
        <f>IF(F2&gt;0,G2/F2,0)</f>
        <v/>
      </c>
      <c r="L2" s="4">
        <f>IF(F2&gt;0,I2/F2,0)</f>
        <v/>
      </c>
      <c r="M2" s="2" t="inlineStr">
        <is>
          <t>Неотапливаемое, не вентилируется</t>
        </is>
      </c>
    </row>
    <row r="3">
      <c r="A3" s="2" t="n">
        <v>1</v>
      </c>
      <c r="B3" s="2" t="n">
        <v>2</v>
      </c>
      <c r="C3" s="2" t="inlineStr">
        <is>
          <t>Прихожая</t>
        </is>
      </c>
      <c r="D3" s="2" t="n">
        <v>18.53</v>
      </c>
      <c r="E3" s="2" t="n">
        <v>3.7</v>
      </c>
      <c r="F3" s="3">
        <f>D3*E3</f>
        <v/>
      </c>
      <c r="G3" s="2" t="n">
        <v>60</v>
      </c>
      <c r="H3" s="2" t="inlineStr">
        <is>
          <t>П1</t>
        </is>
      </c>
      <c r="I3" s="2" t="n">
        <v>0</v>
      </c>
      <c r="J3" s="2" t="inlineStr"/>
      <c r="K3" s="4">
        <f>IF(F3&gt;0,G3/F3,0)</f>
        <v/>
      </c>
      <c r="L3" s="4">
        <f>IF(F3&gt;0,I3/F3,0)</f>
        <v/>
      </c>
      <c r="M3" s="2" t="inlineStr">
        <is>
          <t>Транзитный приток (зона входа)</t>
        </is>
      </c>
    </row>
    <row r="4">
      <c r="A4" s="2" t="n">
        <v>1</v>
      </c>
      <c r="B4" s="2" t="n">
        <v>3</v>
      </c>
      <c r="C4" s="2" t="inlineStr">
        <is>
          <t>Гардеробная</t>
        </is>
      </c>
      <c r="D4" s="2" t="n">
        <v>10.35</v>
      </c>
      <c r="E4" s="2" t="n">
        <v>3.7</v>
      </c>
      <c r="F4" s="3">
        <f>D4*E4</f>
        <v/>
      </c>
      <c r="G4" s="2" t="n">
        <v>0</v>
      </c>
      <c r="H4" s="2" t="inlineStr"/>
      <c r="I4" s="2" t="n">
        <v>40</v>
      </c>
      <c r="J4" s="2" t="inlineStr">
        <is>
          <t>В1</t>
        </is>
      </c>
      <c r="K4" s="4">
        <f>IF(F4&gt;0,G4/F4,0)</f>
        <v/>
      </c>
      <c r="L4" s="4">
        <f>IF(F4&gt;0,I4/F4,0)</f>
        <v/>
      </c>
      <c r="M4" s="2" t="inlineStr">
        <is>
          <t>1 крат (принято с запасом к табл. 9.1)</t>
        </is>
      </c>
    </row>
    <row r="5">
      <c r="A5" s="2" t="n">
        <v>1</v>
      </c>
      <c r="B5" s="2" t="n">
        <v>4</v>
      </c>
      <c r="C5" s="2" t="inlineStr">
        <is>
          <t>Постирочная</t>
        </is>
      </c>
      <c r="D5" s="2" t="n">
        <v>9</v>
      </c>
      <c r="E5" s="2" t="n">
        <v>3.7</v>
      </c>
      <c r="F5" s="3">
        <f>D5*E5</f>
        <v/>
      </c>
      <c r="G5" s="2" t="n">
        <v>0</v>
      </c>
      <c r="H5" s="2" t="inlineStr"/>
      <c r="I5" s="2" t="n">
        <v>90</v>
      </c>
      <c r="J5" s="2" t="inlineStr">
        <is>
          <t>В1</t>
        </is>
      </c>
      <c r="K5" s="4">
        <f>IF(F5&gt;0,G5/F5,0)</f>
        <v/>
      </c>
      <c r="L5" s="4">
        <f>IF(F5&gt;0,I5/F5,0)</f>
        <v/>
      </c>
      <c r="M5" s="2" t="inlineStr">
        <is>
          <t>90 м³/ч (табл. 9.1)</t>
        </is>
      </c>
    </row>
    <row r="6">
      <c r="A6" s="2" t="n">
        <v>1</v>
      </c>
      <c r="B6" s="2" t="n">
        <v>5</v>
      </c>
      <c r="C6" s="2" t="inlineStr">
        <is>
          <t>Котельная</t>
        </is>
      </c>
      <c r="D6" s="2" t="n">
        <v>11.21</v>
      </c>
      <c r="E6" s="2" t="n">
        <v>3.7</v>
      </c>
      <c r="F6" s="3">
        <f>D6*E6</f>
        <v/>
      </c>
      <c r="G6" s="2" t="n">
        <v>130</v>
      </c>
      <c r="H6" s="2" t="inlineStr">
        <is>
          <t>ПЕ1</t>
        </is>
      </c>
      <c r="I6" s="2" t="n">
        <v>130</v>
      </c>
      <c r="J6" s="2" t="inlineStr">
        <is>
          <t>ЕВ1</t>
        </is>
      </c>
      <c r="K6" s="4">
        <f>IF(F6&gt;0,G6/F6,0)</f>
        <v/>
      </c>
      <c r="L6" s="4">
        <f>IF(F6&gt;0,I6/F6,0)</f>
        <v/>
      </c>
      <c r="M6" s="2" t="inlineStr">
        <is>
          <t>3 крат + воздух на горение (уточнить по типу котла)</t>
        </is>
      </c>
    </row>
    <row r="7">
      <c r="A7" s="2" t="n">
        <v>1</v>
      </c>
      <c r="B7" s="2" t="n">
        <v>6</v>
      </c>
      <c r="C7" s="2" t="inlineStr">
        <is>
          <t>С/У</t>
        </is>
      </c>
      <c r="D7" s="2" t="n">
        <v>3.25</v>
      </c>
      <c r="E7" s="2" t="n">
        <v>3.7</v>
      </c>
      <c r="F7" s="3">
        <f>D7*E7</f>
        <v/>
      </c>
      <c r="G7" s="2" t="n">
        <v>0</v>
      </c>
      <c r="H7" s="2" t="inlineStr"/>
      <c r="I7" s="2" t="n">
        <v>25</v>
      </c>
      <c r="J7" s="2" t="inlineStr">
        <is>
          <t>В1</t>
        </is>
      </c>
      <c r="K7" s="4">
        <f>IF(F7&gt;0,G7/F7,0)</f>
        <v/>
      </c>
      <c r="L7" s="4">
        <f>IF(F7&gt;0,I7/F7,0)</f>
        <v/>
      </c>
      <c r="M7" s="2" t="inlineStr">
        <is>
          <t>25 м³/ч (уборная)</t>
        </is>
      </c>
    </row>
    <row r="8">
      <c r="A8" s="2" t="n">
        <v>1</v>
      </c>
      <c r="B8" s="2" t="n">
        <v>7</v>
      </c>
      <c r="C8" s="2" t="inlineStr">
        <is>
          <t>Холл - лестница (второй свет)</t>
        </is>
      </c>
      <c r="D8" s="2" t="n">
        <v>26.97</v>
      </c>
      <c r="E8" s="2" t="n">
        <v>7.9</v>
      </c>
      <c r="F8" s="3">
        <f>D8*E8</f>
        <v/>
      </c>
      <c r="G8" s="2" t="n">
        <v>60</v>
      </c>
      <c r="H8" s="2" t="inlineStr">
        <is>
          <t>П1</t>
        </is>
      </c>
      <c r="I8" s="2" t="n">
        <v>235</v>
      </c>
      <c r="J8" s="2" t="inlineStr">
        <is>
          <t>В1</t>
        </is>
      </c>
      <c r="K8" s="4">
        <f>IF(F8&gt;0,G8/F8,0)</f>
        <v/>
      </c>
      <c r="L8" s="4">
        <f>IF(F8&gt;0,I8/F8,0)</f>
        <v/>
      </c>
      <c r="M8" s="2" t="inlineStr">
        <is>
          <t>Приток в нижнюю зону, вытяжка из верхней зоны (баланс)</t>
        </is>
      </c>
    </row>
    <row r="9">
      <c r="A9" s="2" t="n">
        <v>1</v>
      </c>
      <c r="B9" s="2" t="n">
        <v>8</v>
      </c>
      <c r="C9" s="2" t="inlineStr">
        <is>
          <t>Кухня-столовая</t>
        </is>
      </c>
      <c r="D9" s="2" t="n">
        <v>50.77</v>
      </c>
      <c r="E9" s="2" t="n">
        <v>3.7</v>
      </c>
      <c r="F9" s="3">
        <f>D9*E9</f>
        <v/>
      </c>
      <c r="G9" s="2" t="n">
        <v>190</v>
      </c>
      <c r="H9" s="2" t="inlineStr">
        <is>
          <t>П1</t>
        </is>
      </c>
      <c r="I9" s="2" t="n">
        <v>150</v>
      </c>
      <c r="J9" s="2" t="inlineStr">
        <is>
          <t>В1</t>
        </is>
      </c>
      <c r="K9" s="4">
        <f>IF(F9&gt;0,G9/F9,0)</f>
        <v/>
      </c>
      <c r="L9" s="4">
        <f>IF(F9&gt;0,I9/F9,0)</f>
        <v/>
      </c>
      <c r="M9" s="2" t="inlineStr">
        <is>
          <t>Приток 1 крат; вытяжка 60 м³/ч (эл. плита) с запасом + зонт В3</t>
        </is>
      </c>
    </row>
    <row r="10">
      <c r="A10" s="2" t="n">
        <v>1</v>
      </c>
      <c r="B10" s="2" t="n">
        <v>9</v>
      </c>
      <c r="C10" s="2" t="inlineStr">
        <is>
          <t>Гостиная (камин)</t>
        </is>
      </c>
      <c r="D10" s="2" t="n">
        <v>43.06</v>
      </c>
      <c r="E10" s="2" t="n">
        <v>3.7</v>
      </c>
      <c r="F10" s="3">
        <f>D10*E10</f>
        <v/>
      </c>
      <c r="G10" s="2" t="n">
        <v>180</v>
      </c>
      <c r="H10" s="2" t="inlineStr">
        <is>
          <t>П1</t>
        </is>
      </c>
      <c r="I10" s="2" t="n">
        <v>0</v>
      </c>
      <c r="J10" s="2" t="inlineStr"/>
      <c r="K10" s="4">
        <f>IF(F10&gt;0,G10/F10,0)</f>
        <v/>
      </c>
      <c r="L10" s="4">
        <f>IF(F10&gt;0,I10/F10,0)</f>
        <v/>
      </c>
      <c r="M10" s="2" t="inlineStr">
        <is>
          <t>1 крат, но ≥30 м³/ч на чел.</t>
        </is>
      </c>
    </row>
    <row r="11">
      <c r="A11" s="2" t="n">
        <v>1</v>
      </c>
      <c r="B11" s="2" t="n">
        <v>10</v>
      </c>
      <c r="C11" s="2" t="inlineStr">
        <is>
          <t>Кладовая</t>
        </is>
      </c>
      <c r="D11" s="2" t="n">
        <v>4.48</v>
      </c>
      <c r="E11" s="2" t="n">
        <v>3.7</v>
      </c>
      <c r="F11" s="3">
        <f>D11*E11</f>
        <v/>
      </c>
      <c r="G11" s="2" t="n">
        <v>0</v>
      </c>
      <c r="H11" s="2" t="inlineStr"/>
      <c r="I11" s="2" t="n">
        <v>20</v>
      </c>
      <c r="J11" s="2" t="inlineStr">
        <is>
          <t>В1</t>
        </is>
      </c>
      <c r="K11" s="4">
        <f>IF(F11&gt;0,G11/F11,0)</f>
        <v/>
      </c>
      <c r="L11" s="4">
        <f>IF(F11&gt;0,I11/F11,0)</f>
        <v/>
      </c>
      <c r="M11" s="2" t="inlineStr">
        <is>
          <t>1 крат</t>
        </is>
      </c>
    </row>
    <row r="12">
      <c r="A12" s="2" t="n">
        <v>1</v>
      </c>
      <c r="B12" s="2" t="n">
        <v>11</v>
      </c>
      <c r="C12" s="2" t="inlineStr">
        <is>
          <t>Сауна</t>
        </is>
      </c>
      <c r="D12" s="2" t="n">
        <v>8.539999999999999</v>
      </c>
      <c r="E12" s="2" t="n">
        <v>3.7</v>
      </c>
      <c r="F12" s="3">
        <f>D12*E12</f>
        <v/>
      </c>
      <c r="G12" s="2" t="n">
        <v>0</v>
      </c>
      <c r="H12" s="2" t="inlineStr"/>
      <c r="I12" s="2" t="n">
        <v>130</v>
      </c>
      <c r="J12" s="2" t="inlineStr">
        <is>
          <t>В2</t>
        </is>
      </c>
      <c r="K12" s="4">
        <f>IF(F12&gt;0,G12/F12,0)</f>
        <v/>
      </c>
      <c r="L12" s="4">
        <f>IF(F12&gt;0,I12/F12,0)</f>
        <v/>
      </c>
      <c r="M12" s="2" t="inlineStr">
        <is>
          <t>Просушка 6 крат (h=2,4 м); приток перетоком из зоны отдыха</t>
        </is>
      </c>
    </row>
    <row r="13">
      <c r="A13" s="2" t="n">
        <v>1</v>
      </c>
      <c r="B13" s="2" t="n">
        <v>12</v>
      </c>
      <c r="C13" s="2" t="inlineStr">
        <is>
          <t>Зона отдыха</t>
        </is>
      </c>
      <c r="D13" s="2" t="n">
        <v>19.89</v>
      </c>
      <c r="E13" s="2" t="n">
        <v>3.7</v>
      </c>
      <c r="F13" s="3">
        <f>D13*E13</f>
        <v/>
      </c>
      <c r="G13" s="2" t="n">
        <v>150</v>
      </c>
      <c r="H13" s="2" t="inlineStr">
        <is>
          <t>П1</t>
        </is>
      </c>
      <c r="I13" s="2" t="n">
        <v>0</v>
      </c>
      <c r="J13" s="2" t="inlineStr"/>
      <c r="K13" s="4">
        <f>IF(F13&gt;0,G13/F13,0)</f>
        <v/>
      </c>
      <c r="L13" s="4">
        <f>IF(F13&gt;0,I13/F13,0)</f>
        <v/>
      </c>
      <c r="M13" s="2" t="inlineStr">
        <is>
          <t>1 крат, ≥30 м³/ч на чел. + компенсация В2</t>
        </is>
      </c>
    </row>
    <row r="14">
      <c r="A14" s="2" t="n">
        <v>1</v>
      </c>
      <c r="B14" s="2" t="n">
        <v>13</v>
      </c>
      <c r="C14" s="2" t="inlineStr">
        <is>
          <t>Душевые</t>
        </is>
      </c>
      <c r="D14" s="2" t="n">
        <v>4.14</v>
      </c>
      <c r="E14" s="2" t="n">
        <v>3.7</v>
      </c>
      <c r="F14" s="3">
        <f>D14*E14</f>
        <v/>
      </c>
      <c r="G14" s="2" t="n">
        <v>0</v>
      </c>
      <c r="H14" s="2" t="inlineStr"/>
      <c r="I14" s="2" t="n">
        <v>50</v>
      </c>
      <c r="J14" s="2" t="inlineStr">
        <is>
          <t>В1</t>
        </is>
      </c>
      <c r="K14" s="4">
        <f>IF(F14&gt;0,G14/F14,0)</f>
        <v/>
      </c>
      <c r="L14" s="4">
        <f>IF(F14&gt;0,I14/F14,0)</f>
        <v/>
      </c>
      <c r="M14" s="2" t="inlineStr">
        <is>
          <t>25 м³/ч на душевую сетку ×2</t>
        </is>
      </c>
    </row>
    <row r="15">
      <c r="A15" s="2" t="n">
        <v>2</v>
      </c>
      <c r="B15" s="2" t="n">
        <v>1</v>
      </c>
      <c r="C15" s="2" t="inlineStr">
        <is>
          <t>Лестничный холл</t>
        </is>
      </c>
      <c r="D15" s="2" t="n">
        <v>12.35</v>
      </c>
      <c r="E15" s="2" t="n">
        <v>3.4</v>
      </c>
      <c r="F15" s="3">
        <f>D15*E15</f>
        <v/>
      </c>
      <c r="G15" s="2" t="n">
        <v>0</v>
      </c>
      <c r="H15" s="2" t="inlineStr"/>
      <c r="I15" s="2" t="n">
        <v>0</v>
      </c>
      <c r="J15" s="2" t="inlineStr"/>
      <c r="K15" s="4">
        <f>IF(F15&gt;0,G15/F15,0)</f>
        <v/>
      </c>
      <c r="L15" s="4">
        <f>IF(F15&gt;0,I15/F15,0)</f>
        <v/>
      </c>
      <c r="M15" s="2" t="inlineStr">
        <is>
          <t>Переток</t>
        </is>
      </c>
    </row>
    <row r="16">
      <c r="A16" s="2" t="n">
        <v>2</v>
      </c>
      <c r="B16" s="2" t="n">
        <v>2</v>
      </c>
      <c r="C16" s="2" t="inlineStr">
        <is>
          <t>Холл</t>
        </is>
      </c>
      <c r="D16" s="2" t="n">
        <v>9.5</v>
      </c>
      <c r="E16" s="2" t="n">
        <v>3.4</v>
      </c>
      <c r="F16" s="3">
        <f>D16*E16</f>
        <v/>
      </c>
      <c r="G16" s="2" t="n">
        <v>0</v>
      </c>
      <c r="H16" s="2" t="inlineStr"/>
      <c r="I16" s="2" t="n">
        <v>0</v>
      </c>
      <c r="J16" s="2" t="inlineStr"/>
      <c r="K16" s="4">
        <f>IF(F16&gt;0,G16/F16,0)</f>
        <v/>
      </c>
      <c r="L16" s="4">
        <f>IF(F16&gt;0,I16/F16,0)</f>
        <v/>
      </c>
      <c r="M16" s="2" t="inlineStr">
        <is>
          <t>Переток</t>
        </is>
      </c>
    </row>
    <row r="17">
      <c r="A17" s="2" t="n">
        <v>2</v>
      </c>
      <c r="B17" s="2" t="n">
        <v>3</v>
      </c>
      <c r="C17" s="2" t="inlineStr">
        <is>
          <t>Мастер-спальня</t>
        </is>
      </c>
      <c r="D17" s="2" t="n">
        <v>25.69</v>
      </c>
      <c r="E17" s="2" t="n">
        <v>3.4</v>
      </c>
      <c r="F17" s="3">
        <f>D17*E17</f>
        <v/>
      </c>
      <c r="G17" s="2" t="n">
        <v>90</v>
      </c>
      <c r="H17" s="2" t="inlineStr">
        <is>
          <t>П1</t>
        </is>
      </c>
      <c r="I17" s="2" t="n">
        <v>0</v>
      </c>
      <c r="J17" s="2" t="inlineStr"/>
      <c r="K17" s="4">
        <f>IF(F17&gt;0,G17/F17,0)</f>
        <v/>
      </c>
      <c r="L17" s="4">
        <f>IF(F17&gt;0,I17/F17,0)</f>
        <v/>
      </c>
      <c r="M17" s="2" t="inlineStr">
        <is>
          <t>1 крат, но ≥30 м³/ч на чел.</t>
        </is>
      </c>
    </row>
    <row r="18">
      <c r="A18" s="2" t="n">
        <v>2</v>
      </c>
      <c r="B18" s="2" t="n">
        <v>4</v>
      </c>
      <c r="C18" s="2" t="inlineStr">
        <is>
          <t>Гардеробная</t>
        </is>
      </c>
      <c r="D18" s="2" t="n">
        <v>18.78</v>
      </c>
      <c r="E18" s="2" t="n">
        <v>3.4</v>
      </c>
      <c r="F18" s="3">
        <f>D18*E18</f>
        <v/>
      </c>
      <c r="G18" s="2" t="n">
        <v>0</v>
      </c>
      <c r="H18" s="2" t="inlineStr"/>
      <c r="I18" s="2" t="n">
        <v>70</v>
      </c>
      <c r="J18" s="2" t="inlineStr">
        <is>
          <t>В1</t>
        </is>
      </c>
      <c r="K18" s="4">
        <f>IF(F18&gt;0,G18/F18,0)</f>
        <v/>
      </c>
      <c r="L18" s="4">
        <f>IF(F18&gt;0,I18/F18,0)</f>
        <v/>
      </c>
      <c r="M18" s="2" t="inlineStr">
        <is>
          <t>1 крат (принято с запасом к табл. 9.1)</t>
        </is>
      </c>
    </row>
    <row r="19">
      <c r="A19" s="2" t="n">
        <v>2</v>
      </c>
      <c r="B19" s="2" t="n">
        <v>5</v>
      </c>
      <c r="C19" s="2" t="inlineStr">
        <is>
          <t>С/У</t>
        </is>
      </c>
      <c r="D19" s="2" t="n">
        <v>16.17</v>
      </c>
      <c r="E19" s="2" t="n">
        <v>3.4</v>
      </c>
      <c r="F19" s="3">
        <f>D19*E19</f>
        <v/>
      </c>
      <c r="G19" s="2" t="n">
        <v>0</v>
      </c>
      <c r="H19" s="2" t="inlineStr"/>
      <c r="I19" s="2" t="n">
        <v>50</v>
      </c>
      <c r="J19" s="2" t="inlineStr">
        <is>
          <t>В1</t>
        </is>
      </c>
      <c r="K19" s="4">
        <f>IF(F19&gt;0,G19/F19,0)</f>
        <v/>
      </c>
      <c r="L19" s="4">
        <f>IF(F19&gt;0,I19/F19,0)</f>
        <v/>
      </c>
      <c r="M19" s="2" t="inlineStr">
        <is>
          <t>50 м³/ч (совмещённый С/У)</t>
        </is>
      </c>
    </row>
    <row r="20">
      <c r="A20" s="2" t="n">
        <v>2</v>
      </c>
      <c r="B20" s="2" t="n">
        <v>6</v>
      </c>
      <c r="C20" s="2" t="inlineStr">
        <is>
          <t>Кладовая</t>
        </is>
      </c>
      <c r="D20" s="2" t="n">
        <v>8.82</v>
      </c>
      <c r="E20" s="2" t="n">
        <v>3.4</v>
      </c>
      <c r="F20" s="3">
        <f>D20*E20</f>
        <v/>
      </c>
      <c r="G20" s="2" t="n">
        <v>0</v>
      </c>
      <c r="H20" s="2" t="inlineStr"/>
      <c r="I20" s="2" t="n">
        <v>30</v>
      </c>
      <c r="J20" s="2" t="inlineStr">
        <is>
          <t>В1</t>
        </is>
      </c>
      <c r="K20" s="4">
        <f>IF(F20&gt;0,G20/F20,0)</f>
        <v/>
      </c>
      <c r="L20" s="4">
        <f>IF(F20&gt;0,I20/F20,0)</f>
        <v/>
      </c>
      <c r="M20" s="2" t="inlineStr">
        <is>
          <t>1 крат</t>
        </is>
      </c>
    </row>
    <row r="21">
      <c r="A21" s="2" t="n">
        <v>2</v>
      </c>
      <c r="B21" s="2" t="n">
        <v>7</v>
      </c>
      <c r="C21" s="2" t="inlineStr">
        <is>
          <t>Спальня гостевая</t>
        </is>
      </c>
      <c r="D21" s="2" t="n">
        <v>22.12</v>
      </c>
      <c r="E21" s="2" t="n">
        <v>3.4</v>
      </c>
      <c r="F21" s="3">
        <f>D21*E21</f>
        <v/>
      </c>
      <c r="G21" s="2" t="n">
        <v>80</v>
      </c>
      <c r="H21" s="2" t="inlineStr">
        <is>
          <t>П1</t>
        </is>
      </c>
      <c r="I21" s="2" t="n">
        <v>0</v>
      </c>
      <c r="J21" s="2" t="inlineStr"/>
      <c r="K21" s="4">
        <f>IF(F21&gt;0,G21/F21,0)</f>
        <v/>
      </c>
      <c r="L21" s="4">
        <f>IF(F21&gt;0,I21/F21,0)</f>
        <v/>
      </c>
      <c r="M21" s="2" t="inlineStr">
        <is>
          <t>1 крат, но ≥30 м³/ч на чел.</t>
        </is>
      </c>
    </row>
    <row r="22">
      <c r="A22" s="2" t="n">
        <v>2</v>
      </c>
      <c r="B22" s="2" t="n">
        <v>8</v>
      </c>
      <c r="C22" s="2" t="inlineStr">
        <is>
          <t>С/У</t>
        </is>
      </c>
      <c r="D22" s="2" t="n">
        <v>9</v>
      </c>
      <c r="E22" s="2" t="n">
        <v>3.4</v>
      </c>
      <c r="F22" s="3">
        <f>D22*E22</f>
        <v/>
      </c>
      <c r="G22" s="2" t="n">
        <v>0</v>
      </c>
      <c r="H22" s="2" t="inlineStr"/>
      <c r="I22" s="2" t="n">
        <v>50</v>
      </c>
      <c r="J22" s="2" t="inlineStr">
        <is>
          <t>В1</t>
        </is>
      </c>
      <c r="K22" s="4">
        <f>IF(F22&gt;0,G22/F22,0)</f>
        <v/>
      </c>
      <c r="L22" s="4">
        <f>IF(F22&gt;0,I22/F22,0)</f>
        <v/>
      </c>
      <c r="M22" s="2" t="inlineStr">
        <is>
          <t>50 м³/ч (совмещённый С/У)</t>
        </is>
      </c>
    </row>
    <row r="23">
      <c r="A23" s="2" t="n">
        <v>2</v>
      </c>
      <c r="B23" s="2" t="n">
        <v>9</v>
      </c>
      <c r="C23" s="2" t="inlineStr">
        <is>
          <t>Холл</t>
        </is>
      </c>
      <c r="D23" s="2" t="n">
        <v>13</v>
      </c>
      <c r="E23" s="2" t="n">
        <v>3.4</v>
      </c>
      <c r="F23" s="3">
        <f>D23*E23</f>
        <v/>
      </c>
      <c r="G23" s="2" t="n">
        <v>0</v>
      </c>
      <c r="H23" s="2" t="inlineStr"/>
      <c r="I23" s="2" t="n">
        <v>0</v>
      </c>
      <c r="J23" s="2" t="inlineStr"/>
      <c r="K23" s="4">
        <f>IF(F23&gt;0,G23/F23,0)</f>
        <v/>
      </c>
      <c r="L23" s="4">
        <f>IF(F23&gt;0,I23/F23,0)</f>
        <v/>
      </c>
      <c r="M23" s="2" t="inlineStr">
        <is>
          <t>Переток</t>
        </is>
      </c>
    </row>
    <row r="24">
      <c r="A24" s="2" t="n">
        <v>2</v>
      </c>
      <c r="B24" s="2" t="n">
        <v>10</v>
      </c>
      <c r="C24" s="2" t="inlineStr">
        <is>
          <t>Спальня детская</t>
        </is>
      </c>
      <c r="D24" s="2" t="n">
        <v>21.4</v>
      </c>
      <c r="E24" s="2" t="n">
        <v>3.4</v>
      </c>
      <c r="F24" s="3">
        <f>D24*E24</f>
        <v/>
      </c>
      <c r="G24" s="2" t="n">
        <v>80</v>
      </c>
      <c r="H24" s="2" t="inlineStr">
        <is>
          <t>П1</t>
        </is>
      </c>
      <c r="I24" s="2" t="n">
        <v>0</v>
      </c>
      <c r="J24" s="2" t="inlineStr"/>
      <c r="K24" s="4">
        <f>IF(F24&gt;0,G24/F24,0)</f>
        <v/>
      </c>
      <c r="L24" s="4">
        <f>IF(F24&gt;0,I24/F24,0)</f>
        <v/>
      </c>
      <c r="M24" s="2" t="inlineStr">
        <is>
          <t>1 крат, но ≥30 м³/ч на чел.</t>
        </is>
      </c>
    </row>
    <row r="25">
      <c r="A25" s="2" t="n">
        <v>2</v>
      </c>
      <c r="B25" s="2" t="n">
        <v>11</v>
      </c>
      <c r="C25" s="2" t="inlineStr">
        <is>
          <t>С/У</t>
        </is>
      </c>
      <c r="D25" s="2" t="n">
        <v>6.55</v>
      </c>
      <c r="E25" s="2" t="n">
        <v>3.4</v>
      </c>
      <c r="F25" s="3">
        <f>D25*E25</f>
        <v/>
      </c>
      <c r="G25" s="2" t="n">
        <v>0</v>
      </c>
      <c r="H25" s="2" t="inlineStr"/>
      <c r="I25" s="2" t="n">
        <v>50</v>
      </c>
      <c r="J25" s="2" t="inlineStr">
        <is>
          <t>В1</t>
        </is>
      </c>
      <c r="K25" s="4">
        <f>IF(F25&gt;0,G25/F25,0)</f>
        <v/>
      </c>
      <c r="L25" s="4">
        <f>IF(F25&gt;0,I25/F25,0)</f>
        <v/>
      </c>
      <c r="M25" s="2" t="inlineStr">
        <is>
          <t>50 м³/ч (совмещённый С/У)</t>
        </is>
      </c>
    </row>
    <row r="26">
      <c r="A26" s="2" t="n">
        <v>2</v>
      </c>
      <c r="B26" s="2" t="n">
        <v>12</v>
      </c>
      <c r="C26" s="2" t="inlineStr">
        <is>
          <t>Спальня детская</t>
        </is>
      </c>
      <c r="D26" s="2" t="n">
        <v>21.4</v>
      </c>
      <c r="E26" s="2" t="n">
        <v>3.4</v>
      </c>
      <c r="F26" s="3">
        <f>D26*E26</f>
        <v/>
      </c>
      <c r="G26" s="2" t="n">
        <v>80</v>
      </c>
      <c r="H26" s="2" t="inlineStr">
        <is>
          <t>П1</t>
        </is>
      </c>
      <c r="I26" s="2" t="n">
        <v>0</v>
      </c>
      <c r="J26" s="2" t="inlineStr"/>
      <c r="K26" s="4">
        <f>IF(F26&gt;0,G26/F26,0)</f>
        <v/>
      </c>
      <c r="L26" s="4">
        <f>IF(F26&gt;0,I26/F26,0)</f>
        <v/>
      </c>
      <c r="M26" s="2" t="inlineStr">
        <is>
          <t>1 крат, но ≥30 м³/ч на чел.</t>
        </is>
      </c>
    </row>
    <row r="27">
      <c r="A27" s="2" t="n">
        <v>2</v>
      </c>
      <c r="B27" s="2" t="n">
        <v>13</v>
      </c>
      <c r="C27" s="2" t="inlineStr">
        <is>
          <t>С/У</t>
        </is>
      </c>
      <c r="D27" s="2" t="n">
        <v>6.25</v>
      </c>
      <c r="E27" s="2" t="n">
        <v>3.4</v>
      </c>
      <c r="F27" s="3">
        <f>D27*E27</f>
        <v/>
      </c>
      <c r="G27" s="2" t="n">
        <v>0</v>
      </c>
      <c r="H27" s="2" t="inlineStr"/>
      <c r="I27" s="2" t="n">
        <v>50</v>
      </c>
      <c r="J27" s="2" t="inlineStr">
        <is>
          <t>В1</t>
        </is>
      </c>
      <c r="K27" s="4">
        <f>IF(F27&gt;0,G27/F27,0)</f>
        <v/>
      </c>
      <c r="L27" s="4">
        <f>IF(F27&gt;0,I27/F27,0)</f>
        <v/>
      </c>
      <c r="M27" s="2" t="inlineStr">
        <is>
          <t>50 м³/ч (совмещённый С/У)</t>
        </is>
      </c>
    </row>
    <row r="28">
      <c r="A28" s="2" t="n">
        <v>2</v>
      </c>
      <c r="B28" s="2" t="n">
        <v>14</v>
      </c>
      <c r="C28" s="2" t="inlineStr">
        <is>
          <t>Спальня детская</t>
        </is>
      </c>
      <c r="D28" s="2" t="n">
        <v>23.01</v>
      </c>
      <c r="E28" s="2" t="n">
        <v>3.4</v>
      </c>
      <c r="F28" s="3">
        <f>D28*E28</f>
        <v/>
      </c>
      <c r="G28" s="2" t="n">
        <v>80</v>
      </c>
      <c r="H28" s="2" t="inlineStr">
        <is>
          <t>П1</t>
        </is>
      </c>
      <c r="I28" s="2" t="n">
        <v>0</v>
      </c>
      <c r="J28" s="2" t="inlineStr"/>
      <c r="K28" s="4">
        <f>IF(F28&gt;0,G28/F28,0)</f>
        <v/>
      </c>
      <c r="L28" s="4">
        <f>IF(F28&gt;0,I28/F28,0)</f>
        <v/>
      </c>
      <c r="M28" s="2" t="inlineStr">
        <is>
          <t>1 крат, но ≥30 м³/ч на чел.</t>
        </is>
      </c>
    </row>
    <row r="29">
      <c r="A29" s="2" t="n">
        <v>2</v>
      </c>
      <c r="B29" s="2" t="n">
        <v>15</v>
      </c>
      <c r="C29" s="2" t="inlineStr">
        <is>
          <t>С/У</t>
        </is>
      </c>
      <c r="D29" s="2" t="n">
        <v>6.25</v>
      </c>
      <c r="E29" s="2" t="n">
        <v>3.4</v>
      </c>
      <c r="F29" s="3">
        <f>D29*E29</f>
        <v/>
      </c>
      <c r="G29" s="2" t="n">
        <v>0</v>
      </c>
      <c r="H29" s="2" t="inlineStr"/>
      <c r="I29" s="2" t="n">
        <v>50</v>
      </c>
      <c r="J29" s="2" t="inlineStr">
        <is>
          <t>В1</t>
        </is>
      </c>
      <c r="K29" s="4">
        <f>IF(F29&gt;0,G29/F29,0)</f>
        <v/>
      </c>
      <c r="L29" s="4">
        <f>IF(F29&gt;0,I29/F29,0)</f>
        <v/>
      </c>
      <c r="M29" s="2" t="inlineStr">
        <is>
          <t>50 м³/ч (совмещённый С/У)</t>
        </is>
      </c>
    </row>
    <row r="30">
      <c r="A30" s="2" t="n">
        <v>2</v>
      </c>
      <c r="B30" s="2" t="n">
        <v>16</v>
      </c>
      <c r="C30" s="2" t="inlineStr">
        <is>
          <t>Постирочная</t>
        </is>
      </c>
      <c r="D30" s="2" t="n">
        <v>7.58</v>
      </c>
      <c r="E30" s="2" t="n">
        <v>3.4</v>
      </c>
      <c r="F30" s="3">
        <f>D30*E30</f>
        <v/>
      </c>
      <c r="G30" s="2" t="n">
        <v>0</v>
      </c>
      <c r="H30" s="2" t="inlineStr"/>
      <c r="I30" s="2" t="n">
        <v>90</v>
      </c>
      <c r="J30" s="2" t="inlineStr">
        <is>
          <t>В1</t>
        </is>
      </c>
      <c r="K30" s="4">
        <f>IF(F30&gt;0,G30/F30,0)</f>
        <v/>
      </c>
      <c r="L30" s="4">
        <f>IF(F30&gt;0,I30/F30,0)</f>
        <v/>
      </c>
      <c r="M30" s="2" t="inlineStr">
        <is>
          <t>90 м³/ч (табл. 9.1)</t>
        </is>
      </c>
    </row>
    <row r="31">
      <c r="A31" s="2" t="inlineStr"/>
      <c r="B31" s="2" t="inlineStr"/>
      <c r="C31" s="2" t="inlineStr">
        <is>
          <t>Итого П1</t>
        </is>
      </c>
      <c r="D31" s="2" t="inlineStr"/>
      <c r="E31" s="2" t="inlineStr"/>
      <c r="F31" s="3" t="inlineStr"/>
      <c r="G31" s="2">
        <f>SUMIF(H2:H30,"П1",G2:G30)</f>
        <v/>
      </c>
      <c r="H31" s="2" t="inlineStr">
        <is>
          <t>П1</t>
        </is>
      </c>
      <c r="I31" s="2" t="inlineStr"/>
      <c r="J31" s="2" t="inlineStr"/>
      <c r="K31" s="4" t="inlineStr"/>
      <c r="L31" s="4" t="inlineStr"/>
      <c r="M31" s="2" t="inlineStr"/>
    </row>
    <row r="32">
      <c r="A32" s="2" t="inlineStr"/>
      <c r="B32" s="2" t="inlineStr"/>
      <c r="C32" s="2" t="inlineStr">
        <is>
          <t>Итого В1</t>
        </is>
      </c>
      <c r="D32" s="2" t="inlineStr"/>
      <c r="E32" s="2" t="inlineStr"/>
      <c r="F32" s="3" t="inlineStr"/>
      <c r="G32" s="2" t="inlineStr"/>
      <c r="H32" s="2" t="inlineStr"/>
      <c r="I32" s="2">
        <f>SUMIF(J2:J30,"В1",I2:I30)</f>
        <v/>
      </c>
      <c r="J32" s="2" t="inlineStr">
        <is>
          <t>В1</t>
        </is>
      </c>
      <c r="K32" s="4" t="inlineStr"/>
      <c r="L32" s="4" t="inlineStr"/>
      <c r="M3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80" customWidth="1" min="5" max="5"/>
  </cols>
  <sheetData>
    <row r="1">
      <c r="A1" s="1" t="inlineStr">
        <is>
          <t>Система</t>
        </is>
      </c>
      <c r="B1" s="1" t="inlineStr">
        <is>
          <t>L, м³/ч</t>
        </is>
      </c>
      <c r="C1" s="1" t="inlineStr">
        <is>
          <t>Магистраль Ø, мм</t>
        </is>
      </c>
      <c r="D1" s="1" t="inlineStr">
        <is>
          <t>v, м/с</t>
        </is>
      </c>
      <c r="E1" s="1" t="inlineStr">
        <is>
          <t>Примечание</t>
        </is>
      </c>
    </row>
    <row r="2">
      <c r="A2" s="2" t="inlineStr">
        <is>
          <t>П1</t>
        </is>
      </c>
      <c r="B2" s="2" t="n">
        <v>1050</v>
      </c>
      <c r="C2" s="2" t="n">
        <v>315</v>
      </c>
      <c r="D2" s="2" t="n">
        <v>3.74</v>
      </c>
      <c r="E2" s="2" t="inlineStr"/>
    </row>
    <row r="3">
      <c r="A3" s="2" t="inlineStr">
        <is>
          <t>В1</t>
        </is>
      </c>
      <c r="B3" s="2" t="n">
        <v>1050</v>
      </c>
      <c r="C3" s="2" t="n">
        <v>315</v>
      </c>
      <c r="D3" s="2" t="n">
        <v>3.74</v>
      </c>
      <c r="E3" s="2" t="inlineStr"/>
    </row>
    <row r="4">
      <c r="A4" s="2" t="inlineStr">
        <is>
          <t>П2</t>
        </is>
      </c>
      <c r="B4" s="2" t="n">
        <v>400</v>
      </c>
      <c r="C4" s="2" t="n">
        <v>200</v>
      </c>
      <c r="D4" s="2" t="n">
        <v>3.54</v>
      </c>
      <c r="E4" s="2" t="inlineStr"/>
    </row>
    <row r="5">
      <c r="A5" s="2" t="inlineStr">
        <is>
          <t>В3</t>
        </is>
      </c>
      <c r="B5" s="2" t="n">
        <v>450</v>
      </c>
      <c r="C5" s="2" t="n">
        <v>200</v>
      </c>
      <c r="D5" s="2" t="n">
        <v>3.98</v>
      </c>
      <c r="E5" s="2" t="inlineStr"/>
    </row>
    <row r="6">
      <c r="A6" s="2" t="inlineStr">
        <is>
          <t>В2</t>
        </is>
      </c>
      <c r="B6" s="2" t="n">
        <v>130</v>
      </c>
      <c r="C6" s="2" t="n">
        <v>100</v>
      </c>
      <c r="D6" s="2" t="n">
        <v>4.6</v>
      </c>
      <c r="E6" s="2" t="inlineStr"/>
    </row>
    <row r="7">
      <c r="A7" s="2" t="inlineStr">
        <is>
          <t>ЕВ1</t>
        </is>
      </c>
      <c r="B7" s="2" t="n">
        <v>130</v>
      </c>
      <c r="C7" s="2" t="n">
        <v>200</v>
      </c>
      <c r="D7" s="2" t="n">
        <v>1.15</v>
      </c>
      <c r="E7" s="2" t="inlineStr"/>
    </row>
    <row r="8">
      <c r="A8" s="2" t="inlineStr">
        <is>
          <t>ПЕ1</t>
        </is>
      </c>
      <c r="B8" s="2" t="n">
        <v>130</v>
      </c>
      <c r="C8" s="2" t="n">
        <v>200</v>
      </c>
      <c r="D8" s="2" t="n">
        <v>1.15</v>
      </c>
      <c r="E8" s="2" t="inlineStr"/>
    </row>
    <row r="9">
      <c r="A9" s="2" t="inlineStr"/>
      <c r="B9" s="2" t="inlineStr"/>
      <c r="C9" s="2" t="inlineStr"/>
      <c r="D9" s="2" t="inlineStr"/>
      <c r="E9" s="2" t="inlineStr"/>
    </row>
    <row r="10">
      <c r="A10" s="2" t="inlineStr">
        <is>
          <t>Нагрев П1</t>
        </is>
      </c>
      <c r="B10" s="2" t="inlineStr"/>
      <c r="C10" s="2" t="inlineStr"/>
      <c r="D10" s="2" t="inlineStr"/>
      <c r="E10" s="2" t="inlineStr">
        <is>
          <t>η рекуператора=0.75; t после рекуп.=10.2 °C; Q=0,336·L·Δt=3.44 кВт</t>
        </is>
      </c>
    </row>
    <row r="11">
      <c r="A11" s="2" t="inlineStr">
        <is>
          <t>Нагрев П2</t>
        </is>
      </c>
      <c r="B11" s="2" t="inlineStr"/>
      <c r="C11" s="2" t="inlineStr"/>
      <c r="D11" s="2" t="inlineStr"/>
      <c r="E11" s="2" t="inlineStr">
        <is>
          <t>от -25 до +16 °C; Q=5.51 кВт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5" customWidth="1" min="3" max="3"/>
    <col width="30" customWidth="1" min="4" max="4"/>
    <col width="8" customWidth="1" min="5" max="5"/>
    <col width="9" customWidth="1" min="6" max="6"/>
    <col width="7" customWidth="1" min="7" max="7"/>
    <col width="10" customWidth="1" min="8" max="8"/>
    <col width="11" customWidth="1" min="9" max="9"/>
    <col width="10" customWidth="1" min="10" max="10"/>
    <col width="9" customWidth="1" min="11" max="11"/>
    <col width="28" customWidth="1" min="12" max="12"/>
    <col width="9" customWidth="1" min="13" max="13"/>
  </cols>
  <sheetData>
    <row r="1">
      <c r="A1" s="1" t="inlineStr">
        <is>
          <t>Марка</t>
        </is>
      </c>
      <c r="B1" s="1" t="inlineStr">
        <is>
          <t>Этаж</t>
        </is>
      </c>
      <c r="C1" s="1" t="inlineStr">
        <is>
          <t>№</t>
        </is>
      </c>
      <c r="D1" s="1" t="inlineStr">
        <is>
          <t>Помещение</t>
        </is>
      </c>
      <c r="E1" s="1" t="inlineStr">
        <is>
          <t>S, м²</t>
        </is>
      </c>
      <c r="F1" s="1" t="inlineStr">
        <is>
          <t>q, Вт/м²</t>
        </is>
      </c>
      <c r="G1" s="1" t="inlineStr">
        <is>
          <t>Люди</t>
        </is>
      </c>
      <c r="H1" s="1" t="inlineStr">
        <is>
          <t>Q люди, Вт</t>
        </is>
      </c>
      <c r="I1" s="1" t="inlineStr">
        <is>
          <t>Q оборуд., Вт</t>
        </is>
      </c>
      <c r="J1" s="1" t="inlineStr">
        <is>
          <t>Qрасч, кВт</t>
        </is>
      </c>
      <c r="K1" s="1" t="inlineStr">
        <is>
          <t>Блок, кВт</t>
        </is>
      </c>
      <c r="L1" s="1" t="inlineStr">
        <is>
          <t>Тип</t>
        </is>
      </c>
      <c r="M1" s="1" t="inlineStr">
        <is>
          <t>Система</t>
        </is>
      </c>
    </row>
    <row r="2">
      <c r="A2" s="2" t="inlineStr">
        <is>
          <t>ВБ1</t>
        </is>
      </c>
      <c r="B2" s="2" t="n">
        <v>1</v>
      </c>
      <c r="C2" s="2" t="n">
        <v>2</v>
      </c>
      <c r="D2" s="2" t="inlineStr">
        <is>
          <t>Прихожая</t>
        </is>
      </c>
      <c r="E2" s="2" t="n">
        <v>18.53</v>
      </c>
      <c r="F2" s="2" t="n">
        <v>70</v>
      </c>
      <c r="G2" s="2" t="n">
        <v>0</v>
      </c>
      <c r="H2" s="2">
        <f>G2*130</f>
        <v/>
      </c>
      <c r="I2" s="2" t="n">
        <v>0</v>
      </c>
      <c r="J2" s="2">
        <f>(E2*F2+H2+I2)/1000</f>
        <v/>
      </c>
      <c r="K2" s="2" t="n">
        <v>2.2</v>
      </c>
      <c r="L2" s="2" t="inlineStr">
        <is>
          <t>настенный</t>
        </is>
      </c>
      <c r="M2" s="2" t="inlineStr">
        <is>
          <t>К1</t>
        </is>
      </c>
    </row>
    <row r="3">
      <c r="A3" s="2" t="inlineStr">
        <is>
          <t>ВБ2</t>
        </is>
      </c>
      <c r="B3" s="2" t="n">
        <v>1</v>
      </c>
      <c r="C3" s="2" t="n">
        <v>7</v>
      </c>
      <c r="D3" s="2" t="inlineStr">
        <is>
          <t>Холл - лестница (второй свет)</t>
        </is>
      </c>
      <c r="E3" s="2" t="n">
        <v>26.97</v>
      </c>
      <c r="F3" s="2" t="n">
        <v>150</v>
      </c>
      <c r="G3" s="2" t="n">
        <v>0</v>
      </c>
      <c r="H3" s="2">
        <f>G3*130</f>
        <v/>
      </c>
      <c r="I3" s="2" t="n">
        <v>0</v>
      </c>
      <c r="J3" s="2">
        <f>(E3*F3+H3+I3)/1000</f>
        <v/>
      </c>
      <c r="K3" s="2" t="n">
        <v>4.5</v>
      </c>
      <c r="L3" s="2" t="inlineStr">
        <is>
          <t>настенный</t>
        </is>
      </c>
      <c r="M3" s="2" t="inlineStr">
        <is>
          <t>К1</t>
        </is>
      </c>
    </row>
    <row r="4">
      <c r="A4" s="2" t="inlineStr">
        <is>
          <t>ВБ3</t>
        </is>
      </c>
      <c r="B4" s="2" t="n">
        <v>1</v>
      </c>
      <c r="C4" s="2" t="n">
        <v>8</v>
      </c>
      <c r="D4" s="2" t="inlineStr">
        <is>
          <t>Кухня-столовая</t>
        </is>
      </c>
      <c r="E4" s="2" t="n">
        <v>50.77</v>
      </c>
      <c r="F4" s="2" t="n">
        <v>100</v>
      </c>
      <c r="G4" s="2" t="n">
        <v>6</v>
      </c>
      <c r="H4" s="2">
        <f>G4*130</f>
        <v/>
      </c>
      <c r="I4" s="2" t="n">
        <v>800</v>
      </c>
      <c r="J4" s="2">
        <f>(E4*F4+H4+I4)/1000</f>
        <v/>
      </c>
      <c r="K4" s="2" t="n">
        <v>7.1</v>
      </c>
      <c r="L4" s="2" t="inlineStr">
        <is>
          <t>настенный</t>
        </is>
      </c>
      <c r="M4" s="2" t="inlineStr">
        <is>
          <t>К1</t>
        </is>
      </c>
    </row>
    <row r="5">
      <c r="A5" s="2" t="inlineStr">
        <is>
          <t>ВБ4</t>
        </is>
      </c>
      <c r="B5" s="2" t="n">
        <v>1</v>
      </c>
      <c r="C5" s="2" t="n">
        <v>9</v>
      </c>
      <c r="D5" s="2" t="inlineStr">
        <is>
          <t>Гостиная (камин)</t>
        </is>
      </c>
      <c r="E5" s="2" t="n">
        <v>43.06</v>
      </c>
      <c r="F5" s="2" t="n">
        <v>110</v>
      </c>
      <c r="G5" s="2" t="n">
        <v>6</v>
      </c>
      <c r="H5" s="2">
        <f>G5*130</f>
        <v/>
      </c>
      <c r="I5" s="2" t="n">
        <v>0</v>
      </c>
      <c r="J5" s="2">
        <f>(E5*F5+H5+I5)/1000</f>
        <v/>
      </c>
      <c r="K5" s="2" t="n">
        <v>5.6</v>
      </c>
      <c r="L5" s="2" t="inlineStr">
        <is>
          <t>настенный</t>
        </is>
      </c>
      <c r="M5" s="2" t="inlineStr">
        <is>
          <t>К1</t>
        </is>
      </c>
    </row>
    <row r="6">
      <c r="A6" s="2" t="inlineStr">
        <is>
          <t>ВБ5</t>
        </is>
      </c>
      <c r="B6" s="2" t="n">
        <v>1</v>
      </c>
      <c r="C6" s="2" t="n">
        <v>12</v>
      </c>
      <c r="D6" s="2" t="inlineStr">
        <is>
          <t>Зона отдыха</t>
        </is>
      </c>
      <c r="E6" s="2" t="n">
        <v>19.89</v>
      </c>
      <c r="F6" s="2" t="n">
        <v>100</v>
      </c>
      <c r="G6" s="2" t="n">
        <v>4</v>
      </c>
      <c r="H6" s="2">
        <f>G6*130</f>
        <v/>
      </c>
      <c r="I6" s="2" t="n">
        <v>0</v>
      </c>
      <c r="J6" s="2">
        <f>(E6*F6+H6+I6)/1000</f>
        <v/>
      </c>
      <c r="K6" s="2" t="n">
        <v>2.8</v>
      </c>
      <c r="L6" s="2" t="inlineStr">
        <is>
          <t>настенный</t>
        </is>
      </c>
      <c r="M6" s="2" t="inlineStr">
        <is>
          <t>К1</t>
        </is>
      </c>
    </row>
    <row r="7">
      <c r="A7" s="2" t="inlineStr">
        <is>
          <t>ВБ6</t>
        </is>
      </c>
      <c r="B7" s="2" t="n">
        <v>2</v>
      </c>
      <c r="C7" s="2" t="n">
        <v>3</v>
      </c>
      <c r="D7" s="2" t="inlineStr">
        <is>
          <t>Мастер-спальня</t>
        </is>
      </c>
      <c r="E7" s="2" t="n">
        <v>25.69</v>
      </c>
      <c r="F7" s="2" t="n">
        <v>90</v>
      </c>
      <c r="G7" s="2" t="n">
        <v>2</v>
      </c>
      <c r="H7" s="2">
        <f>G7*130</f>
        <v/>
      </c>
      <c r="I7" s="2" t="n">
        <v>0</v>
      </c>
      <c r="J7" s="2">
        <f>(E7*F7+H7+I7)/1000</f>
        <v/>
      </c>
      <c r="K7" s="2" t="n">
        <v>2.8</v>
      </c>
      <c r="L7" s="2" t="inlineStr">
        <is>
          <t>настенный</t>
        </is>
      </c>
      <c r="M7" s="2" t="inlineStr">
        <is>
          <t>К2</t>
        </is>
      </c>
    </row>
    <row r="8">
      <c r="A8" s="2" t="inlineStr">
        <is>
          <t>ВБ7</t>
        </is>
      </c>
      <c r="B8" s="2" t="n">
        <v>2</v>
      </c>
      <c r="C8" s="2" t="n">
        <v>7</v>
      </c>
      <c r="D8" s="2" t="inlineStr">
        <is>
          <t>Спальня гостевая</t>
        </is>
      </c>
      <c r="E8" s="2" t="n">
        <v>22.12</v>
      </c>
      <c r="F8" s="2" t="n">
        <v>90</v>
      </c>
      <c r="G8" s="2" t="n">
        <v>2</v>
      </c>
      <c r="H8" s="2">
        <f>G8*130</f>
        <v/>
      </c>
      <c r="I8" s="2" t="n">
        <v>0</v>
      </c>
      <c r="J8" s="2">
        <f>(E8*F8+H8+I8)/1000</f>
        <v/>
      </c>
      <c r="K8" s="2" t="n">
        <v>2.8</v>
      </c>
      <c r="L8" s="2" t="inlineStr">
        <is>
          <t>настенный</t>
        </is>
      </c>
      <c r="M8" s="2" t="inlineStr">
        <is>
          <t>К2</t>
        </is>
      </c>
    </row>
    <row r="9">
      <c r="A9" s="2" t="inlineStr">
        <is>
          <t>ВБ8</t>
        </is>
      </c>
      <c r="B9" s="2" t="n">
        <v>2</v>
      </c>
      <c r="C9" s="2" t="n">
        <v>9</v>
      </c>
      <c r="D9" s="2" t="inlineStr">
        <is>
          <t>Холл</t>
        </is>
      </c>
      <c r="E9" s="2" t="n">
        <v>13</v>
      </c>
      <c r="F9" s="2" t="n">
        <v>70</v>
      </c>
      <c r="G9" s="2" t="n">
        <v>0</v>
      </c>
      <c r="H9" s="2">
        <f>G9*130</f>
        <v/>
      </c>
      <c r="I9" s="2" t="n">
        <v>0</v>
      </c>
      <c r="J9" s="2">
        <f>(E9*F9+H9+I9)/1000</f>
        <v/>
      </c>
      <c r="K9" s="2" t="n">
        <v>2.2</v>
      </c>
      <c r="L9" s="2" t="inlineStr">
        <is>
          <t>настенный</t>
        </is>
      </c>
      <c r="M9" s="2" t="inlineStr">
        <is>
          <t>К2</t>
        </is>
      </c>
    </row>
    <row r="10">
      <c r="A10" s="2" t="inlineStr">
        <is>
          <t>ВБ9</t>
        </is>
      </c>
      <c r="B10" s="2" t="n">
        <v>2</v>
      </c>
      <c r="C10" s="2" t="n">
        <v>10</v>
      </c>
      <c r="D10" s="2" t="inlineStr">
        <is>
          <t>Спальня детская</t>
        </is>
      </c>
      <c r="E10" s="2" t="n">
        <v>21.4</v>
      </c>
      <c r="F10" s="2" t="n">
        <v>90</v>
      </c>
      <c r="G10" s="2" t="n">
        <v>1</v>
      </c>
      <c r="H10" s="2">
        <f>G10*130</f>
        <v/>
      </c>
      <c r="I10" s="2" t="n">
        <v>0</v>
      </c>
      <c r="J10" s="2">
        <f>(E10*F10+H10+I10)/1000</f>
        <v/>
      </c>
      <c r="K10" s="2" t="n">
        <v>2.2</v>
      </c>
      <c r="L10" s="2" t="inlineStr">
        <is>
          <t>настенный</t>
        </is>
      </c>
      <c r="M10" s="2" t="inlineStr">
        <is>
          <t>К2</t>
        </is>
      </c>
    </row>
    <row r="11">
      <c r="A11" s="2" t="inlineStr">
        <is>
          <t>ВБ10</t>
        </is>
      </c>
      <c r="B11" s="2" t="n">
        <v>2</v>
      </c>
      <c r="C11" s="2" t="n">
        <v>12</v>
      </c>
      <c r="D11" s="2" t="inlineStr">
        <is>
          <t>Спальня детская</t>
        </is>
      </c>
      <c r="E11" s="2" t="n">
        <v>21.4</v>
      </c>
      <c r="F11" s="2" t="n">
        <v>90</v>
      </c>
      <c r="G11" s="2" t="n">
        <v>1</v>
      </c>
      <c r="H11" s="2">
        <f>G11*130</f>
        <v/>
      </c>
      <c r="I11" s="2" t="n">
        <v>0</v>
      </c>
      <c r="J11" s="2">
        <f>(E11*F11+H11+I11)/1000</f>
        <v/>
      </c>
      <c r="K11" s="2" t="n">
        <v>2.2</v>
      </c>
      <c r="L11" s="2" t="inlineStr">
        <is>
          <t>настенный</t>
        </is>
      </c>
      <c r="M11" s="2" t="inlineStr">
        <is>
          <t>К2</t>
        </is>
      </c>
    </row>
    <row r="12">
      <c r="A12" s="2" t="inlineStr">
        <is>
          <t>ВБ11</t>
        </is>
      </c>
      <c r="B12" s="2" t="n">
        <v>2</v>
      </c>
      <c r="C12" s="2" t="n">
        <v>14</v>
      </c>
      <c r="D12" s="2" t="inlineStr">
        <is>
          <t>Спальня детская</t>
        </is>
      </c>
      <c r="E12" s="2" t="n">
        <v>23.01</v>
      </c>
      <c r="F12" s="2" t="n">
        <v>90</v>
      </c>
      <c r="G12" s="2" t="n">
        <v>1</v>
      </c>
      <c r="H12" s="2">
        <f>G12*130</f>
        <v/>
      </c>
      <c r="I12" s="2" t="n">
        <v>0</v>
      </c>
      <c r="J12" s="2">
        <f>(E12*F12+H12+I12)/1000</f>
        <v/>
      </c>
      <c r="K12" s="2" t="n">
        <v>2.8</v>
      </c>
      <c r="L12" s="2" t="inlineStr">
        <is>
          <t>настенный</t>
        </is>
      </c>
      <c r="M12" s="2" t="inlineStr">
        <is>
          <t>К2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К1</t>
        </is>
      </c>
      <c r="B14" s="2" t="inlineStr"/>
      <c r="C14" s="2" t="inlineStr"/>
      <c r="D14" s="2" t="inlineStr">
        <is>
          <t>Наружный блок</t>
        </is>
      </c>
      <c r="E14" s="2" t="inlineStr"/>
      <c r="F14" s="2" t="inlineStr"/>
      <c r="G14" s="2" t="inlineStr"/>
      <c r="H14" s="2" t="inlineStr"/>
      <c r="I14" s="2" t="inlineStr"/>
      <c r="J14" s="2" t="n">
        <v>20.04</v>
      </c>
      <c r="K14" s="2" t="n">
        <v>22.4</v>
      </c>
      <c r="L14" s="2" t="inlineStr">
        <is>
          <t>ΣВБ=22.2 кВт, загрузка 99%</t>
        </is>
      </c>
      <c r="M14" s="2" t="inlineStr"/>
    </row>
    <row r="15">
      <c r="A15" s="2" t="inlineStr">
        <is>
          <t>К2</t>
        </is>
      </c>
      <c r="B15" s="2" t="inlineStr"/>
      <c r="C15" s="2" t="inlineStr"/>
      <c r="D15" s="2" t="inlineStr">
        <is>
          <t>Наружный блок</t>
        </is>
      </c>
      <c r="E15" s="2" t="inlineStr"/>
      <c r="F15" s="2" t="inlineStr"/>
      <c r="G15" s="2" t="inlineStr"/>
      <c r="H15" s="2" t="inlineStr"/>
      <c r="I15" s="2" t="inlineStr"/>
      <c r="J15" s="2" t="n">
        <v>12.05</v>
      </c>
      <c r="K15" s="2" t="n">
        <v>12.1</v>
      </c>
      <c r="L15" s="2" t="inlineStr">
        <is>
          <t>ΣВБ=15.0 кВт, загрузка 124%</t>
        </is>
      </c>
      <c r="M1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8" customWidth="1" min="3" max="3"/>
    <col width="8" customWidth="1" min="4" max="4"/>
    <col width="8" customWidth="1" min="5" max="5"/>
    <col width="32" customWidth="1" min="6" max="6"/>
  </cols>
  <sheetData>
    <row r="1">
      <c r="A1" s="1" t="inlineStr">
        <is>
          <t>Поз.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</t>
        </is>
      </c>
      <c r="D1" s="1" t="inlineStr">
        <is>
          <t>Ед.</t>
        </is>
      </c>
      <c r="E1" s="1" t="inlineStr">
        <is>
          <t>Кол.</t>
        </is>
      </c>
      <c r="F1" s="1" t="inlineStr">
        <is>
          <t>Примечание</t>
        </is>
      </c>
    </row>
    <row r="2">
      <c r="A2" s="2" t="inlineStr"/>
      <c r="B2" s="5" t="inlineStr">
        <is>
          <t>Система П1В1</t>
        </is>
      </c>
      <c r="C2" s="2" t="inlineStr"/>
      <c r="D2" s="2" t="inlineStr"/>
      <c r="E2" s="2" t="inlineStr"/>
      <c r="F2" s="2" t="inlineStr"/>
    </row>
    <row r="3">
      <c r="A3" s="2" t="inlineStr">
        <is>
          <t>П1В1</t>
        </is>
      </c>
      <c r="B3" s="2" t="inlineStr">
        <is>
          <t>Приточно-вытяжная установка с роторным рекуператором (η≥75%), L=1050 м³/ч, Pсв=250 Па, EC-вентиляторы, электронагреватель 3.5 кВт / 380 В, фильтры приток ePM1 55% (F7), вытяжка ePM10 50% (M5), автоматика с пультом и датчиком CO₂</t>
        </is>
      </c>
      <c r="C3" s="2" t="inlineStr">
        <is>
          <t>Подвесная, для чердака, или аналог</t>
        </is>
      </c>
      <c r="D3" s="2" t="inlineStr">
        <is>
          <t>компл.</t>
        </is>
      </c>
      <c r="E3" s="2" t="n">
        <v>1</v>
      </c>
      <c r="F3" s="2" t="inlineStr">
        <is>
          <t>Чердак, на виброопорах</t>
        </is>
      </c>
    </row>
    <row r="4">
      <c r="A4" s="2" t="inlineStr">
        <is>
          <t>1</t>
        </is>
      </c>
      <c r="B4" s="2" t="inlineStr">
        <is>
          <t>Шумоглушитель круглый Ø315, L=1000 мм</t>
        </is>
      </c>
      <c r="C4" s="2" t="inlineStr">
        <is>
          <t>SR 315/1000</t>
        </is>
      </c>
      <c r="D4" s="2" t="inlineStr">
        <is>
          <t>шт.</t>
        </is>
      </c>
      <c r="E4" s="2" t="n">
        <v>4</v>
      </c>
      <c r="F4" s="2" t="inlineStr"/>
    </row>
    <row r="5">
      <c r="A5" s="2" t="inlineStr">
        <is>
          <t>2</t>
        </is>
      </c>
      <c r="B5" s="2" t="inlineStr">
        <is>
          <t>Клапан воздушный утеплённый Ø315 с электроприводом и возвратной пружиной (24 В)</t>
        </is>
      </c>
      <c r="C5" s="2" t="inlineStr"/>
      <c r="D5" s="2" t="inlineStr">
        <is>
          <t>шт.</t>
        </is>
      </c>
      <c r="E5" s="2" t="n">
        <v>2</v>
      </c>
      <c r="F5" s="2" t="inlineStr">
        <is>
          <t>Наружный воздух, выброс</t>
        </is>
      </c>
    </row>
    <row r="6">
      <c r="A6" s="2" t="inlineStr">
        <is>
          <t>3</t>
        </is>
      </c>
      <c r="B6" s="2" t="inlineStr">
        <is>
          <t>Гибкая вставка Ø315</t>
        </is>
      </c>
      <c r="C6" s="2" t="inlineStr"/>
      <c r="D6" s="2" t="inlineStr">
        <is>
          <t>шт.</t>
        </is>
      </c>
      <c r="E6" s="2" t="n">
        <v>4</v>
      </c>
      <c r="F6" s="2" t="inlineStr"/>
    </row>
    <row r="7">
      <c r="A7" s="2" t="inlineStr">
        <is>
          <t>4</t>
        </is>
      </c>
      <c r="B7" s="2" t="inlineStr">
        <is>
          <t>Узел воздухозаборный через фальцевую кровлю Ø315 с зонтом и сеткой</t>
        </is>
      </c>
      <c r="C7" s="2" t="inlineStr"/>
      <c r="D7" s="2" t="inlineStr">
        <is>
          <t>компл.</t>
        </is>
      </c>
      <c r="E7" s="2" t="n">
        <v>1</v>
      </c>
      <c r="F7" s="2" t="inlineStr">
        <is>
          <t>Наружный воздух П1</t>
        </is>
      </c>
    </row>
    <row r="8">
      <c r="A8" s="2" t="inlineStr">
        <is>
          <t>5</t>
        </is>
      </c>
      <c r="B8" s="2" t="inlineStr">
        <is>
          <t>Узел прохода вытяжной шахты через фальцевую кровлю Ø315 с зонтом</t>
        </is>
      </c>
      <c r="C8" s="2" t="inlineStr"/>
      <c r="D8" s="2" t="inlineStr">
        <is>
          <t>компл.</t>
        </is>
      </c>
      <c r="E8" s="2" t="n">
        <v>1</v>
      </c>
      <c r="F8" s="2" t="inlineStr">
        <is>
          <t>Выброс В1</t>
        </is>
      </c>
    </row>
    <row r="9">
      <c r="A9" s="2" t="inlineStr">
        <is>
          <t>6</t>
        </is>
      </c>
      <c r="B9" s="2" t="inlineStr">
        <is>
          <t>Диффузор потолочный круглый (ДПУ-М) Ø100…Ø200</t>
        </is>
      </c>
      <c r="C9" s="2" t="inlineStr"/>
      <c r="D9" s="2" t="inlineStr">
        <is>
          <t>шт.</t>
        </is>
      </c>
      <c r="E9" s="2" t="n">
        <v>14</v>
      </c>
      <c r="F9" s="2" t="inlineStr">
        <is>
          <t>2 этаж, по плану</t>
        </is>
      </c>
    </row>
    <row r="10">
      <c r="A10" s="2" t="inlineStr">
        <is>
          <t>7</t>
        </is>
      </c>
      <c r="B10" s="2" t="inlineStr">
        <is>
          <t>Диффузор потолочный/стеновой с пленумом под 2…4 воздуховода Ø90</t>
        </is>
      </c>
      <c r="C10" s="2" t="inlineStr"/>
      <c r="D10" s="2" t="inlineStr">
        <is>
          <t>шт.</t>
        </is>
      </c>
      <c r="E10" s="2" t="n">
        <v>17</v>
      </c>
      <c r="F10" s="2" t="inlineStr">
        <is>
          <t>1 этаж, по плану</t>
        </is>
      </c>
    </row>
    <row r="11">
      <c r="A11" s="2" t="inlineStr">
        <is>
          <t>8</t>
        </is>
      </c>
      <c r="B11" s="2" t="inlineStr">
        <is>
          <t>Распределительный коллектор (камера статического давления) Ø200/Ø160, 6…14 выходов Ø90, со звукопоглощением и ревизией</t>
        </is>
      </c>
      <c r="C11" s="2" t="inlineStr"/>
      <c r="D11" s="2" t="inlineStr">
        <is>
          <t>шт.</t>
        </is>
      </c>
      <c r="E11" s="2" t="n">
        <v>4</v>
      </c>
      <c r="F11" s="2" t="inlineStr">
        <is>
          <t>РК1–РК4: РК1=14, РК2=6, РК3=7, РК4=8 вых.</t>
        </is>
      </c>
    </row>
    <row r="12">
      <c r="A12" s="2" t="inlineStr">
        <is>
          <t>9</t>
        </is>
      </c>
      <c r="B12" s="2" t="inlineStr">
        <is>
          <t>Воздуховод полимерный гибкий двухслойный Ø90 с антистатическим и антибактериальным покрытием</t>
        </is>
      </c>
      <c r="C12" s="2" t="inlineStr"/>
      <c r="D12" s="2" t="inlineStr">
        <is>
          <t>м</t>
        </is>
      </c>
      <c r="E12" s="2" t="n">
        <v>420</v>
      </c>
      <c r="F12" s="2" t="inlineStr">
        <is>
          <t>21+14 линий × ≈12 м</t>
        </is>
      </c>
    </row>
    <row r="13">
      <c r="A13" s="2" t="inlineStr">
        <is>
          <t>10</t>
        </is>
      </c>
      <c r="B13" s="2" t="inlineStr">
        <is>
          <t>Дроссель-клапан Ø125…Ø315 с ручным приводом</t>
        </is>
      </c>
      <c r="C13" s="2" t="inlineStr"/>
      <c r="D13" s="2" t="inlineStr">
        <is>
          <t>шт.</t>
        </is>
      </c>
      <c r="E13" s="2" t="n">
        <v>16</v>
      </c>
      <c r="F13" s="2" t="inlineStr">
        <is>
          <t>Наладка</t>
        </is>
      </c>
    </row>
    <row r="14">
      <c r="A14" s="2" t="inlineStr">
        <is>
          <t>11</t>
        </is>
      </c>
      <c r="B14" s="2" t="inlineStr">
        <is>
          <t>Воздуховоды из оцинкованной стали круглые спирально-навивные, δ=0,5 мм, Ø125…Ø315 (ГОСТ 14918-2020)</t>
        </is>
      </c>
      <c r="C14" s="2" t="inlineStr"/>
      <c r="D14" s="2" t="inlineStr">
        <is>
          <t>м²</t>
        </is>
      </c>
      <c r="E14" s="2" t="n">
        <v>90</v>
      </c>
      <c r="F14" s="2" t="inlineStr">
        <is>
          <t>Ориентировочно</t>
        </is>
      </c>
    </row>
    <row r="15">
      <c r="A15" s="2" t="inlineStr">
        <is>
          <t>12</t>
        </is>
      </c>
      <c r="B15" s="2" t="inlineStr">
        <is>
          <t>Фасонные изделия к воздуховодам п.11</t>
        </is>
      </c>
      <c r="C15" s="2" t="inlineStr"/>
      <c r="D15" s="2" t="inlineStr">
        <is>
          <t>м²</t>
        </is>
      </c>
      <c r="E15" s="2" t="n">
        <v>25</v>
      </c>
      <c r="F15" s="2" t="inlineStr">
        <is>
          <t>30% от п.11</t>
        </is>
      </c>
    </row>
    <row r="16">
      <c r="A16" s="2" t="inlineStr">
        <is>
          <t>13</t>
        </is>
      </c>
      <c r="B16" s="2" t="inlineStr">
        <is>
          <t>Изоляция теплоизоляционная из вспененного каучука δ=19 мм, самоклеящаяся</t>
        </is>
      </c>
      <c r="C16" s="2" t="inlineStr"/>
      <c r="D16" s="2" t="inlineStr">
        <is>
          <t>м²</t>
        </is>
      </c>
      <c r="E16" s="2" t="n">
        <v>60</v>
      </c>
      <c r="F16" s="2" t="inlineStr">
        <is>
          <t>Приток после ПВУ</t>
        </is>
      </c>
    </row>
    <row r="17">
      <c r="A17" s="2" t="inlineStr">
        <is>
          <t>14</t>
        </is>
      </c>
      <c r="B17" s="2" t="inlineStr">
        <is>
          <t>Изоляция из вспененного каучука δ=32 мм, с покрытием (паронепроницаемая)</t>
        </is>
      </c>
      <c r="C17" s="2" t="inlineStr"/>
      <c r="D17" s="2" t="inlineStr">
        <is>
          <t>м²</t>
        </is>
      </c>
      <c r="E17" s="2" t="n">
        <v>30</v>
      </c>
      <c r="F17" s="2" t="inlineStr">
        <is>
          <t>Наружный воздух, выброс</t>
        </is>
      </c>
    </row>
    <row r="18">
      <c r="A18" s="2" t="inlineStr">
        <is>
          <t>15</t>
        </is>
      </c>
      <c r="B18" s="2" t="inlineStr">
        <is>
          <t>Шланг дренажный ПВХ Ø20 с сифоном (гидрозатвор)</t>
        </is>
      </c>
      <c r="C18" s="2" t="inlineStr"/>
      <c r="D18" s="2" t="inlineStr">
        <is>
          <t>компл.</t>
        </is>
      </c>
      <c r="E18" s="2" t="n">
        <v>1</v>
      </c>
      <c r="F18" s="2" t="inlineStr">
        <is>
          <t>При необходимости по паспорту ПВУ</t>
        </is>
      </c>
    </row>
    <row r="19">
      <c r="A19" s="2" t="inlineStr"/>
      <c r="B19" s="5" t="inlineStr">
        <is>
          <t>Система П2 / В3 (кухонный зонт и компенсация)</t>
        </is>
      </c>
      <c r="C19" s="2" t="inlineStr"/>
      <c r="D19" s="2" t="inlineStr"/>
      <c r="E19" s="2" t="inlineStr"/>
      <c r="F19" s="2" t="inlineStr"/>
    </row>
    <row r="20">
      <c r="A20" s="2" t="inlineStr">
        <is>
          <t>П2</t>
        </is>
      </c>
      <c r="B20" s="2" t="inlineStr">
        <is>
          <t>Приточная установка компактная, L=400 м³/ч, Pсв=200 Па, электронагреватель 6 кВт / 380 В, фильтр G4, клапан с эл. приводом, автоматика с блокировкой от зонта</t>
        </is>
      </c>
      <c r="C20" s="2" t="inlineStr">
        <is>
          <t>или аналог</t>
        </is>
      </c>
      <c r="D20" s="2" t="inlineStr">
        <is>
          <t>компл.</t>
        </is>
      </c>
      <c r="E20" s="2" t="n">
        <v>1</v>
      </c>
      <c r="F20" s="2" t="inlineStr">
        <is>
          <t>Чердак</t>
        </is>
      </c>
    </row>
    <row r="21">
      <c r="A21" s="2" t="inlineStr">
        <is>
          <t>В3</t>
        </is>
      </c>
      <c r="B21" s="2" t="inlineStr">
        <is>
          <t>Вытяжной зонт кухонный с вентилятором, L=450 м³/ч</t>
        </is>
      </c>
      <c r="C21" s="2" t="inlineStr">
        <is>
          <t>по дизайн-проекту</t>
        </is>
      </c>
      <c r="D21" s="2" t="inlineStr">
        <is>
          <t>шт.</t>
        </is>
      </c>
      <c r="E21" s="2" t="n">
        <v>1</v>
      </c>
      <c r="F21" s="2" t="inlineStr">
        <is>
          <t>Поставка заказчика</t>
        </is>
      </c>
    </row>
    <row r="22">
      <c r="A22" s="2" t="inlineStr">
        <is>
          <t>16</t>
        </is>
      </c>
      <c r="B22" s="2" t="inlineStr">
        <is>
          <t>Клапан обратный Ø200</t>
        </is>
      </c>
      <c r="C22" s="2" t="inlineStr"/>
      <c r="D22" s="2" t="inlineStr">
        <is>
          <t>шт.</t>
        </is>
      </c>
      <c r="E22" s="2" t="n">
        <v>1</v>
      </c>
      <c r="F22" s="2" t="inlineStr">
        <is>
          <t>В3</t>
        </is>
      </c>
    </row>
    <row r="23">
      <c r="A23" s="2" t="inlineStr">
        <is>
          <t>17</t>
        </is>
      </c>
      <c r="B23" s="2" t="inlineStr">
        <is>
          <t>Воздуховоды из оцинкованной стали Ø200, δ=0,5 мм</t>
        </is>
      </c>
      <c r="C23" s="2" t="inlineStr"/>
      <c r="D23" s="2" t="inlineStr">
        <is>
          <t>м²</t>
        </is>
      </c>
      <c r="E23" s="2" t="n">
        <v>12</v>
      </c>
      <c r="F23" s="2" t="inlineStr">
        <is>
          <t>П2, В3</t>
        </is>
      </c>
    </row>
    <row r="24">
      <c r="A24" s="2" t="inlineStr">
        <is>
          <t>18</t>
        </is>
      </c>
      <c r="B24" s="2" t="inlineStr">
        <is>
          <t>Изоляция вспененный каучук δ=32 мм с покрытием</t>
        </is>
      </c>
      <c r="C24" s="2" t="inlineStr"/>
      <c r="D24" s="2" t="inlineStr">
        <is>
          <t>м²</t>
        </is>
      </c>
      <c r="E24" s="2" t="n">
        <v>12</v>
      </c>
      <c r="F24" s="2" t="inlineStr"/>
    </row>
    <row r="25">
      <c r="A25" s="2" t="inlineStr">
        <is>
          <t>19</t>
        </is>
      </c>
      <c r="B25" s="2" t="inlineStr">
        <is>
          <t>Узел прохода через кровлю Ø200 с зонтом</t>
        </is>
      </c>
      <c r="C25" s="2" t="inlineStr"/>
      <c r="D25" s="2" t="inlineStr">
        <is>
          <t>компл.</t>
        </is>
      </c>
      <c r="E25" s="2" t="n">
        <v>1</v>
      </c>
      <c r="F25" s="2" t="inlineStr">
        <is>
          <t>В3</t>
        </is>
      </c>
    </row>
    <row r="26">
      <c r="A26" s="2" t="inlineStr">
        <is>
          <t>20</t>
        </is>
      </c>
      <c r="B26" s="2" t="inlineStr">
        <is>
          <t>Решётка наружная Ø200 с сеткой</t>
        </is>
      </c>
      <c r="C26" s="2" t="inlineStr"/>
      <c r="D26" s="2" t="inlineStr">
        <is>
          <t>шт.</t>
        </is>
      </c>
      <c r="E26" s="2" t="n">
        <v>1</v>
      </c>
      <c r="F26" s="2" t="inlineStr">
        <is>
          <t>П2</t>
        </is>
      </c>
    </row>
    <row r="27">
      <c r="A27" s="2" t="inlineStr">
        <is>
          <t>21</t>
        </is>
      </c>
      <c r="B27" s="2" t="inlineStr">
        <is>
          <t>Решётка/диффузор приточный 400×150 с регулятором</t>
        </is>
      </c>
      <c r="C27" s="2" t="inlineStr"/>
      <c r="D27" s="2" t="inlineStr">
        <is>
          <t>шт.</t>
        </is>
      </c>
      <c r="E27" s="2" t="n">
        <v>1</v>
      </c>
      <c r="F27" s="2" t="inlineStr">
        <is>
          <t>Кухня, у зонта</t>
        </is>
      </c>
    </row>
    <row r="28">
      <c r="A28" s="2" t="inlineStr"/>
      <c r="B28" s="5" t="inlineStr">
        <is>
          <t>Система В2 (сауна)</t>
        </is>
      </c>
      <c r="C28" s="2" t="inlineStr"/>
      <c r="D28" s="2" t="inlineStr"/>
      <c r="E28" s="2" t="inlineStr"/>
      <c r="F28" s="2" t="inlineStr"/>
    </row>
    <row r="29">
      <c r="A29" s="2" t="inlineStr">
        <is>
          <t>В2</t>
        </is>
      </c>
      <c r="B29" s="2" t="inlineStr">
        <is>
          <t>Вентилятор канальный термостойкий (до +120 °C), L=130 м³/ч, Pсв=150 Па, Ø125</t>
        </is>
      </c>
      <c r="C29" s="2" t="inlineStr">
        <is>
          <t>или аналог</t>
        </is>
      </c>
      <c r="D29" s="2" t="inlineStr">
        <is>
          <t>шт.</t>
        </is>
      </c>
      <c r="E29" s="2" t="n">
        <v>1</v>
      </c>
      <c r="F29" s="2" t="inlineStr">
        <is>
          <t>Работа в режиме просушки</t>
        </is>
      </c>
    </row>
    <row r="30">
      <c r="A30" s="2" t="inlineStr">
        <is>
          <t>22</t>
        </is>
      </c>
      <c r="B30" s="2" t="inlineStr">
        <is>
          <t>Клапан вытяжной для сауны регулируемый (дерево/нерж.) Ø125</t>
        </is>
      </c>
      <c r="C30" s="2" t="inlineStr"/>
      <c r="D30" s="2" t="inlineStr">
        <is>
          <t>шт.</t>
        </is>
      </c>
      <c r="E30" s="2" t="n">
        <v>1</v>
      </c>
      <c r="F30" s="2" t="inlineStr"/>
    </row>
    <row r="31">
      <c r="A31" s="2" t="inlineStr">
        <is>
          <t>23</t>
        </is>
      </c>
      <c r="B31" s="2" t="inlineStr">
        <is>
          <t>Клапан обратный Ø125</t>
        </is>
      </c>
      <c r="C31" s="2" t="inlineStr"/>
      <c r="D31" s="2" t="inlineStr">
        <is>
          <t>шт.</t>
        </is>
      </c>
      <c r="E31" s="2" t="n">
        <v>1</v>
      </c>
      <c r="F31" s="2" t="inlineStr"/>
    </row>
    <row r="32">
      <c r="A32" s="2" t="inlineStr">
        <is>
          <t>24</t>
        </is>
      </c>
      <c r="B32" s="2" t="inlineStr">
        <is>
          <t>Воздуховод из нержавеющей стали Ø125, δ=0,5 мм</t>
        </is>
      </c>
      <c r="C32" s="2" t="inlineStr"/>
      <c r="D32" s="2" t="inlineStr">
        <is>
          <t>м</t>
        </is>
      </c>
      <c r="E32" s="2" t="n">
        <v>10</v>
      </c>
      <c r="F32" s="2" t="inlineStr"/>
    </row>
    <row r="33">
      <c r="A33" s="2" t="inlineStr">
        <is>
          <t>25</t>
        </is>
      </c>
      <c r="B33" s="2" t="inlineStr">
        <is>
          <t>Изоляция базальтовая фольгированная δ=30 мм</t>
        </is>
      </c>
      <c r="C33" s="2" t="inlineStr"/>
      <c r="D33" s="2" t="inlineStr">
        <is>
          <t>м²</t>
        </is>
      </c>
      <c r="E33" s="2" t="n">
        <v>4</v>
      </c>
      <c r="F33" s="2" t="inlineStr"/>
    </row>
    <row r="34">
      <c r="A34" s="2" t="inlineStr">
        <is>
          <t>26</t>
        </is>
      </c>
      <c r="B34" s="2" t="inlineStr">
        <is>
          <t>Узел прохода через кровлю Ø125 с зонтом</t>
        </is>
      </c>
      <c r="C34" s="2" t="inlineStr"/>
      <c r="D34" s="2" t="inlineStr">
        <is>
          <t>компл.</t>
        </is>
      </c>
      <c r="E34" s="2" t="n">
        <v>1</v>
      </c>
      <c r="F34" s="2" t="inlineStr"/>
    </row>
    <row r="35">
      <c r="A35" s="2" t="inlineStr"/>
      <c r="B35" s="5" t="inlineStr">
        <is>
          <t>Системы ЕВ1, ПЕ1 (котельная), ПЕ2 (камин)</t>
        </is>
      </c>
      <c r="C35" s="2" t="inlineStr"/>
      <c r="D35" s="2" t="inlineStr"/>
      <c r="E35" s="2" t="inlineStr"/>
      <c r="F35" s="2" t="inlineStr"/>
    </row>
    <row r="36">
      <c r="A36" s="2" t="inlineStr">
        <is>
          <t>27</t>
        </is>
      </c>
      <c r="B36" s="2" t="inlineStr">
        <is>
          <t>Канал вытяжной естественный Ø200 оцинк. с утеплением δ=50 мм, с дефлектором над кровлей</t>
        </is>
      </c>
      <c r="C36" s="2" t="inlineStr">
        <is>
          <t>ЕВ1</t>
        </is>
      </c>
      <c r="D36" s="2" t="inlineStr">
        <is>
          <t>компл.</t>
        </is>
      </c>
      <c r="E36" s="2" t="n">
        <v>1</v>
      </c>
      <c r="F36" s="2" t="inlineStr">
        <is>
          <t>Выше конька ≥0,5 м</t>
        </is>
      </c>
    </row>
    <row r="37">
      <c r="A37" s="2" t="inlineStr">
        <is>
          <t>28</t>
        </is>
      </c>
      <c r="B37" s="2" t="inlineStr">
        <is>
          <t>Решётка вентиляционная наружная 300×200 с утеплённой заслонкой</t>
        </is>
      </c>
      <c r="C37" s="2" t="inlineStr">
        <is>
          <t>ПЕ1</t>
        </is>
      </c>
      <c r="D37" s="2" t="inlineStr">
        <is>
          <t>шт.</t>
        </is>
      </c>
      <c r="E37" s="2" t="n">
        <v>1</v>
      </c>
      <c r="F37" s="2" t="inlineStr">
        <is>
          <t>Нижняя зона котельной</t>
        </is>
      </c>
    </row>
    <row r="38">
      <c r="A38" s="2" t="inlineStr">
        <is>
          <t>29</t>
        </is>
      </c>
      <c r="B38" s="2" t="inlineStr">
        <is>
          <t>Воздуховод подачи воздуха на горение к топке камина Ø125 с заслонкой и наружной решёткой</t>
        </is>
      </c>
      <c r="C38" s="2" t="inlineStr">
        <is>
          <t>ПЕ2</t>
        </is>
      </c>
      <c r="D38" s="2" t="inlineStr">
        <is>
          <t>компл.</t>
        </is>
      </c>
      <c r="E38" s="2" t="n">
        <v>1</v>
      </c>
      <c r="F38" s="2" t="inlineStr">
        <is>
          <t>По паспорту топки</t>
        </is>
      </c>
    </row>
    <row r="39">
      <c r="A39" s="2" t="inlineStr"/>
      <c r="B39" s="5" t="inlineStr">
        <is>
          <t>Системы кондиционирования К1, К2 (мини-VRF)</t>
        </is>
      </c>
      <c r="C39" s="2" t="inlineStr"/>
      <c r="D39" s="2" t="inlineStr"/>
      <c r="E39" s="2" t="inlineStr"/>
      <c r="F39" s="2" t="inlineStr"/>
    </row>
    <row r="40">
      <c r="A40" s="2" t="inlineStr">
        <is>
          <t>НБ1</t>
        </is>
      </c>
      <c r="B40" s="2" t="inlineStr">
        <is>
          <t>Наружный блок мини-VRF (тепловой насос), Qх=22.4 кВт, R410A/R32, 380 В</t>
        </is>
      </c>
      <c r="C40" s="2" t="inlineStr">
        <is>
          <t>или аналог</t>
        </is>
      </c>
      <c r="D40" s="2" t="inlineStr">
        <is>
          <t>шт.</t>
        </is>
      </c>
      <c r="E40" s="2" t="n">
        <v>1</v>
      </c>
      <c r="F40" s="2" t="inlineStr">
        <is>
          <t>Система К1, 99%</t>
        </is>
      </c>
    </row>
    <row r="41">
      <c r="A41" s="2" t="inlineStr">
        <is>
          <t>НБ2</t>
        </is>
      </c>
      <c r="B41" s="2" t="inlineStr">
        <is>
          <t>Наружный блок мини-VRF (тепловой насос), Qх=12.1 кВт, R410A/R32, 380 В</t>
        </is>
      </c>
      <c r="C41" s="2" t="inlineStr">
        <is>
          <t>или аналог</t>
        </is>
      </c>
      <c r="D41" s="2" t="inlineStr">
        <is>
          <t>шт.</t>
        </is>
      </c>
      <c r="E41" s="2" t="n">
        <v>1</v>
      </c>
      <c r="F41" s="2" t="inlineStr">
        <is>
          <t>Система К2, 124%</t>
        </is>
      </c>
    </row>
    <row r="42">
      <c r="A42" s="2" t="inlineStr">
        <is>
          <t>ВБ1</t>
        </is>
      </c>
      <c r="B42" s="2" t="inlineStr">
        <is>
          <t>Внутренний блок настенный, Qх=2.2 кВт</t>
        </is>
      </c>
      <c r="C42" s="2" t="inlineStr"/>
      <c r="D42" s="2" t="inlineStr">
        <is>
          <t>шт.</t>
        </is>
      </c>
      <c r="E42" s="2" t="n">
        <v>1</v>
      </c>
      <c r="F42" s="2" t="inlineStr">
        <is>
          <t>1 эт., пом. 2</t>
        </is>
      </c>
    </row>
    <row r="43">
      <c r="A43" s="2" t="inlineStr">
        <is>
          <t>ВБ2</t>
        </is>
      </c>
      <c r="B43" s="2" t="inlineStr">
        <is>
          <t>Внутренний блок настенный, Qх=4.5 кВт</t>
        </is>
      </c>
      <c r="C43" s="2" t="inlineStr"/>
      <c r="D43" s="2" t="inlineStr">
        <is>
          <t>шт.</t>
        </is>
      </c>
      <c r="E43" s="2" t="n">
        <v>1</v>
      </c>
      <c r="F43" s="2" t="inlineStr">
        <is>
          <t>1 эт., пом. 7</t>
        </is>
      </c>
    </row>
    <row r="44">
      <c r="A44" s="2" t="inlineStr">
        <is>
          <t>ВБ3</t>
        </is>
      </c>
      <c r="B44" s="2" t="inlineStr">
        <is>
          <t>Внутренний блок настенный, Qх=7.1 кВт</t>
        </is>
      </c>
      <c r="C44" s="2" t="inlineStr"/>
      <c r="D44" s="2" t="inlineStr">
        <is>
          <t>шт.</t>
        </is>
      </c>
      <c r="E44" s="2" t="n">
        <v>1</v>
      </c>
      <c r="F44" s="2" t="inlineStr">
        <is>
          <t>1 эт., пом. 8</t>
        </is>
      </c>
    </row>
    <row r="45">
      <c r="A45" s="2" t="inlineStr">
        <is>
          <t>ВБ4</t>
        </is>
      </c>
      <c r="B45" s="2" t="inlineStr">
        <is>
          <t>Внутренний блок настенный, Qх=5.6 кВт</t>
        </is>
      </c>
      <c r="C45" s="2" t="inlineStr"/>
      <c r="D45" s="2" t="inlineStr">
        <is>
          <t>шт.</t>
        </is>
      </c>
      <c r="E45" s="2" t="n">
        <v>1</v>
      </c>
      <c r="F45" s="2" t="inlineStr">
        <is>
          <t>1 эт., пом. 9</t>
        </is>
      </c>
    </row>
    <row r="46">
      <c r="A46" s="2" t="inlineStr">
        <is>
          <t>ВБ5</t>
        </is>
      </c>
      <c r="B46" s="2" t="inlineStr">
        <is>
          <t>Внутренний блок настенный, Qх=2.8 кВт</t>
        </is>
      </c>
      <c r="C46" s="2" t="inlineStr"/>
      <c r="D46" s="2" t="inlineStr">
        <is>
          <t>шт.</t>
        </is>
      </c>
      <c r="E46" s="2" t="n">
        <v>1</v>
      </c>
      <c r="F46" s="2" t="inlineStr">
        <is>
          <t>1 эт., пом. 12</t>
        </is>
      </c>
    </row>
    <row r="47">
      <c r="A47" s="2" t="inlineStr">
        <is>
          <t>ВБ6</t>
        </is>
      </c>
      <c r="B47" s="2" t="inlineStr">
        <is>
          <t>Внутренний блок настенный, Qх=2.8 кВт</t>
        </is>
      </c>
      <c r="C47" s="2" t="inlineStr"/>
      <c r="D47" s="2" t="inlineStr">
        <is>
          <t>шт.</t>
        </is>
      </c>
      <c r="E47" s="2" t="n">
        <v>1</v>
      </c>
      <c r="F47" s="2" t="inlineStr">
        <is>
          <t>2 эт., пом. 3</t>
        </is>
      </c>
    </row>
    <row r="48">
      <c r="A48" s="2" t="inlineStr">
        <is>
          <t>ВБ7</t>
        </is>
      </c>
      <c r="B48" s="2" t="inlineStr">
        <is>
          <t>Внутренний блок настенный, Qх=2.8 кВт</t>
        </is>
      </c>
      <c r="C48" s="2" t="inlineStr"/>
      <c r="D48" s="2" t="inlineStr">
        <is>
          <t>шт.</t>
        </is>
      </c>
      <c r="E48" s="2" t="n">
        <v>1</v>
      </c>
      <c r="F48" s="2" t="inlineStr">
        <is>
          <t>2 эт., пом. 7</t>
        </is>
      </c>
    </row>
    <row r="49">
      <c r="A49" s="2" t="inlineStr">
        <is>
          <t>ВБ8</t>
        </is>
      </c>
      <c r="B49" s="2" t="inlineStr">
        <is>
          <t>Внутренний блок настенный, Qх=2.2 кВт</t>
        </is>
      </c>
      <c r="C49" s="2" t="inlineStr"/>
      <c r="D49" s="2" t="inlineStr">
        <is>
          <t>шт.</t>
        </is>
      </c>
      <c r="E49" s="2" t="n">
        <v>1</v>
      </c>
      <c r="F49" s="2" t="inlineStr">
        <is>
          <t>2 эт., пом. 9</t>
        </is>
      </c>
    </row>
    <row r="50">
      <c r="A50" s="2" t="inlineStr">
        <is>
          <t>ВБ9</t>
        </is>
      </c>
      <c r="B50" s="2" t="inlineStr">
        <is>
          <t>Внутренний блок настенный, Qх=2.2 кВт</t>
        </is>
      </c>
      <c r="C50" s="2" t="inlineStr"/>
      <c r="D50" s="2" t="inlineStr">
        <is>
          <t>шт.</t>
        </is>
      </c>
      <c r="E50" s="2" t="n">
        <v>1</v>
      </c>
      <c r="F50" s="2" t="inlineStr">
        <is>
          <t>2 эт., пом. 10</t>
        </is>
      </c>
    </row>
    <row r="51">
      <c r="A51" s="2" t="inlineStr">
        <is>
          <t>ВБ10</t>
        </is>
      </c>
      <c r="B51" s="2" t="inlineStr">
        <is>
          <t>Внутренний блок настенный, Qх=2.2 кВт</t>
        </is>
      </c>
      <c r="C51" s="2" t="inlineStr"/>
      <c r="D51" s="2" t="inlineStr">
        <is>
          <t>шт.</t>
        </is>
      </c>
      <c r="E51" s="2" t="n">
        <v>1</v>
      </c>
      <c r="F51" s="2" t="inlineStr">
        <is>
          <t>2 эт., пом. 12</t>
        </is>
      </c>
    </row>
    <row r="52">
      <c r="A52" s="2" t="inlineStr">
        <is>
          <t>ВБ11</t>
        </is>
      </c>
      <c r="B52" s="2" t="inlineStr">
        <is>
          <t>Внутренний блок настенный, Qх=2.8 кВт</t>
        </is>
      </c>
      <c r="C52" s="2" t="inlineStr"/>
      <c r="D52" s="2" t="inlineStr">
        <is>
          <t>шт.</t>
        </is>
      </c>
      <c r="E52" s="2" t="n">
        <v>1</v>
      </c>
      <c r="F52" s="2" t="inlineStr">
        <is>
          <t>2 эт., пом. 14</t>
        </is>
      </c>
    </row>
    <row r="53">
      <c r="A53" s="2" t="inlineStr">
        <is>
          <t>30</t>
        </is>
      </c>
      <c r="B53" s="2" t="inlineStr">
        <is>
          <t>Разветвитель (рефнет) фреоновый</t>
        </is>
      </c>
      <c r="C53" s="2" t="inlineStr">
        <is>
          <t>по ПО производителя</t>
        </is>
      </c>
      <c r="D53" s="2" t="inlineStr">
        <is>
          <t>шт.</t>
        </is>
      </c>
      <c r="E53" s="2" t="n">
        <v>9</v>
      </c>
      <c r="F53" s="2" t="inlineStr"/>
    </row>
    <row r="54">
      <c r="A54" s="2" t="inlineStr">
        <is>
          <t>31</t>
        </is>
      </c>
      <c r="B54" s="2" t="inlineStr">
        <is>
          <t>Труба медная отожжённая Ø6,35…Ø19,05 (ГОСТ Р 52318-2005)</t>
        </is>
      </c>
      <c r="C54" s="2" t="inlineStr"/>
      <c r="D54" s="2" t="inlineStr">
        <is>
          <t>м</t>
        </is>
      </c>
      <c r="E54" s="2" t="n">
        <v>220</v>
      </c>
      <c r="F54" s="2" t="inlineStr">
        <is>
          <t>Ориентировочно</t>
        </is>
      </c>
    </row>
    <row r="55">
      <c r="A55" s="2" t="inlineStr">
        <is>
          <t>32</t>
        </is>
      </c>
      <c r="B55" s="2" t="inlineStr">
        <is>
          <t>Изоляция трубная вспененный каучук δ=13 мм</t>
        </is>
      </c>
      <c r="C55" s="2" t="inlineStr"/>
      <c r="D55" s="2" t="inlineStr">
        <is>
          <t>м</t>
        </is>
      </c>
      <c r="E55" s="2" t="n">
        <v>220</v>
      </c>
      <c r="F55" s="2" t="inlineStr"/>
    </row>
    <row r="56">
      <c r="A56" s="2" t="inlineStr">
        <is>
          <t>33</t>
        </is>
      </c>
      <c r="B56" s="2" t="inlineStr">
        <is>
          <t>Кабель межблочной связи экранированный 2×0,75</t>
        </is>
      </c>
      <c r="C56" s="2" t="inlineStr"/>
      <c r="D56" s="2" t="inlineStr">
        <is>
          <t>м</t>
        </is>
      </c>
      <c r="E56" s="2" t="n">
        <v>130</v>
      </c>
      <c r="F56" s="2" t="inlineStr"/>
    </row>
    <row r="57">
      <c r="A57" s="2" t="inlineStr">
        <is>
          <t>34</t>
        </is>
      </c>
      <c r="B57" s="2" t="inlineStr">
        <is>
          <t>Дренажная труба ПП Ø32 с гидрозатвором (сухой затвор)</t>
        </is>
      </c>
      <c r="C57" s="2" t="inlineStr"/>
      <c r="D57" s="2" t="inlineStr">
        <is>
          <t>м</t>
        </is>
      </c>
      <c r="E57" s="2" t="n">
        <v>60</v>
      </c>
      <c r="F57" s="2" t="inlineStr"/>
    </row>
    <row r="58">
      <c r="A58" s="2" t="inlineStr">
        <is>
          <t>35</t>
        </is>
      </c>
      <c r="B58" s="2" t="inlineStr">
        <is>
          <t>Опора наружного блока (рама на фундаментных блоках)</t>
        </is>
      </c>
      <c r="C58" s="2" t="inlineStr"/>
      <c r="D58" s="2" t="inlineStr">
        <is>
          <t>компл.</t>
        </is>
      </c>
      <c r="E58" s="2" t="n">
        <v>2</v>
      </c>
      <c r="F58" s="2" t="inlineStr"/>
    </row>
    <row r="59">
      <c r="A59" s="2" t="inlineStr">
        <is>
          <t>36</t>
        </is>
      </c>
      <c r="B59" s="2" t="inlineStr">
        <is>
          <t>Пульт управления проводной индивидуальный</t>
        </is>
      </c>
      <c r="C59" s="2" t="inlineStr"/>
      <c r="D59" s="2" t="inlineStr">
        <is>
          <t>шт.</t>
        </is>
      </c>
      <c r="E59" s="2" t="n">
        <v>11</v>
      </c>
      <c r="F5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2026-10-17T20:41:02Z</dcterms:created>
  <dcterms:modified xmlns:dcterms="http://purl.org/dc/terms/" xmlns:xsi="http://www.w3.org/2001/XMLSchema-instance" xsi:type="dcterms:W3CDTF">2026-10-17T20:41:02Z</dcterms:modified>
</cp:coreProperties>
</file>