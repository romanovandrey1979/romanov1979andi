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Бюджет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 ##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164" fontId="1" fillId="2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164" fontId="1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cols>
    <col width="90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Раздел / статья</t>
        </is>
      </c>
      <c r="B1" s="2" t="inlineStr">
        <is>
          <t>Мин., тыс. ₽</t>
        </is>
      </c>
      <c r="C1" s="2" t="inlineStr">
        <is>
          <t>Макс., тыс. ₽</t>
        </is>
      </c>
      <c r="D1" s="2" t="inlineStr">
        <is>
          <t>Среднее, тыс. ₽</t>
        </is>
      </c>
    </row>
    <row r="2">
      <c r="A2" s="3" t="inlineStr">
        <is>
          <t>Коробка и общестроительные работы</t>
        </is>
      </c>
      <c r="B2" s="4">
        <f>SUM(B3:B11)</f>
        <v/>
      </c>
      <c r="C2" s="4">
        <f>SUM(C3:C11)</f>
        <v/>
      </c>
      <c r="D2" s="4">
        <f>SUM(D3:D11)</f>
        <v/>
      </c>
    </row>
    <row r="3">
      <c r="A3" s="5" t="inlineStr">
        <is>
          <t>Строй Хауз: площадка, фундамент, брус, перекрытие, стропила, кровля, водосток (договор № 26/10-06/1)</t>
        </is>
      </c>
      <c r="B3" s="6" t="n">
        <v>43500</v>
      </c>
      <c r="C3" s="6" t="n">
        <v>43500</v>
      </c>
      <c r="D3" s="6">
        <f>(B3+C3)/2</f>
        <v/>
      </c>
    </row>
    <row r="4">
      <c r="A4" s="5" t="inlineStr">
        <is>
          <t>Окна и витражи ≈ 224–230 м², Schüco / Alutech, с монтажом и опциями</t>
        </is>
      </c>
      <c r="B4" s="6" t="n">
        <v>20900</v>
      </c>
      <c r="C4" s="6" t="n">
        <v>26500</v>
      </c>
      <c r="D4" s="6">
        <f>(B4+C4)/2</f>
        <v/>
      </c>
    </row>
    <row r="5">
      <c r="A5" s="5" t="inlineStr">
        <is>
          <t>Входные двери</t>
        </is>
      </c>
      <c r="B5" s="6" t="n">
        <v>300</v>
      </c>
      <c r="C5" s="6" t="n">
        <v>800</v>
      </c>
      <c r="D5" s="6">
        <f>(B5+C5)/2</f>
        <v/>
      </c>
    </row>
    <row r="6">
      <c r="A6" s="5" t="inlineStr">
        <is>
          <t>Защитное покрытие бруса снаружи (в течение 30 дней после сборки — условие гарантии), цоколь</t>
        </is>
      </c>
      <c r="B6" s="6" t="n">
        <v>1200</v>
      </c>
      <c r="C6" s="6" t="n">
        <v>2200</v>
      </c>
      <c r="D6" s="6">
        <f>(B6+C6)/2</f>
        <v/>
      </c>
    </row>
    <row r="7">
      <c r="A7" s="5" t="inlineStr">
        <is>
          <t>Каркасные перегородки (КД6)</t>
        </is>
      </c>
      <c r="B7" s="6" t="n">
        <v>800</v>
      </c>
      <c r="C7" s="6" t="n">
        <v>1400</v>
      </c>
      <c r="D7" s="6">
        <f>(B7+C7)/2</f>
        <v/>
      </c>
    </row>
    <row r="8">
      <c r="A8" s="5" t="inlineStr">
        <is>
          <t>Стяжка с тёплым полом 1 этажа ≈ 210 м²</t>
        </is>
      </c>
      <c r="B8" s="6" t="n">
        <v>270</v>
      </c>
      <c r="C8" s="6" t="n">
        <v>460</v>
      </c>
      <c r="D8" s="6">
        <f>(B8+C8)/2</f>
        <v/>
      </c>
    </row>
    <row r="9">
      <c r="A9" s="5" t="inlineStr">
        <is>
          <t>Лестница, схема Б: металлокаркас + бетон, отделка, ограждение</t>
        </is>
      </c>
      <c r="B9" s="6" t="n">
        <v>850</v>
      </c>
      <c r="C9" s="6" t="n">
        <v>1800</v>
      </c>
      <c r="D9" s="6">
        <f>(B9+C9)/2</f>
        <v/>
      </c>
    </row>
    <row r="10">
      <c r="A10" s="5" t="inlineStr">
        <is>
          <t>Камин дровяной с дымоходом и подводом воздуха</t>
        </is>
      </c>
      <c r="B10" s="6" t="n">
        <v>400</v>
      </c>
      <c r="C10" s="6" t="n">
        <v>1200</v>
      </c>
      <c r="D10" s="6">
        <f>(B10+C10)/2</f>
        <v/>
      </c>
    </row>
    <row r="11">
      <c r="A11" s="5" t="inlineStr">
        <is>
          <t>Отмостка</t>
        </is>
      </c>
      <c r="B11" s="6" t="n">
        <v>500</v>
      </c>
      <c r="C11" s="6" t="n">
        <v>900</v>
      </c>
      <c r="D11" s="6">
        <f>(B11+C11)/2</f>
        <v/>
      </c>
    </row>
    <row r="12">
      <c r="A12" s="3" t="inlineStr">
        <is>
          <t>Инженерные системы</t>
        </is>
      </c>
      <c r="B12" s="4">
        <f>SUM(B13:B22)</f>
        <v/>
      </c>
      <c r="C12" s="4">
        <f>SUM(C13:C22)</f>
        <v/>
      </c>
      <c r="D12" s="4">
        <f>SUM(D13:D22)</f>
        <v/>
      </c>
    </row>
    <row r="13">
      <c r="A13" s="5" t="inlineStr">
        <is>
          <t>Вентиляция и кондиционирование, увлажнение</t>
        </is>
      </c>
      <c r="B13" s="6" t="n">
        <v>6670</v>
      </c>
      <c r="C13" s="6" t="n">
        <v>11530</v>
      </c>
      <c r="D13" s="6">
        <f>(B13+C13)/2</f>
        <v/>
      </c>
    </row>
    <row r="14">
      <c r="A14" s="5" t="inlineStr">
        <is>
          <t>Отопление и котельная (пеллеты + электро)</t>
        </is>
      </c>
      <c r="B14" s="6" t="n">
        <v>4160</v>
      </c>
      <c r="C14" s="6" t="n">
        <v>8370</v>
      </c>
      <c r="D14" s="6">
        <f>(B14+C14)/2</f>
        <v/>
      </c>
    </row>
    <row r="15">
      <c r="A15" s="5" t="inlineStr">
        <is>
          <t>Водопровод и канализация (без сантехприборов)</t>
        </is>
      </c>
      <c r="B15" s="6" t="n">
        <v>1180</v>
      </c>
      <c r="C15" s="6" t="n">
        <v>2380</v>
      </c>
      <c r="D15" s="6">
        <f>(B15+C15)/2</f>
        <v/>
      </c>
    </row>
    <row r="16">
      <c r="A16" s="5" t="inlineStr">
        <is>
          <t>Электрика, свет Maytoni (−50 %), батарея и генератор</t>
        </is>
      </c>
      <c r="B16" s="6" t="n">
        <v>6080</v>
      </c>
      <c r="C16" s="6" t="n">
        <v>11780</v>
      </c>
      <c r="D16" s="6">
        <f>(B16+C16)/2</f>
        <v/>
      </c>
    </row>
    <row r="17">
      <c r="A17" s="5" t="inlineStr">
        <is>
          <t>Сеть, умный дом HA, камеры, домофон, охрана, базовое аудио</t>
        </is>
      </c>
      <c r="B17" s="6" t="n">
        <v>2040</v>
      </c>
      <c r="C17" s="6" t="n">
        <v>4910</v>
      </c>
      <c r="D17" s="6">
        <f>(B17+C17)/2</f>
        <v/>
      </c>
    </row>
    <row r="18">
      <c r="A18" s="5" t="inlineStr">
        <is>
          <t>Аудио и кинозона сверх базового (5.1, экран/проектор)</t>
        </is>
      </c>
      <c r="B18" s="6" t="n">
        <v>500</v>
      </c>
      <c r="C18" s="6" t="n">
        <v>1500</v>
      </c>
      <c r="D18" s="6">
        <f>(B18+C18)/2</f>
        <v/>
      </c>
    </row>
    <row r="19">
      <c r="A19" s="5" t="inlineStr">
        <is>
          <t>Приводы штор и карнизы 12–15 шт.</t>
        </is>
      </c>
      <c r="B19" s="6" t="n">
        <v>400</v>
      </c>
      <c r="C19" s="6" t="n">
        <v>900</v>
      </c>
      <c r="D19" s="6">
        <f>(B19+C19)/2</f>
        <v/>
      </c>
    </row>
    <row r="20">
      <c r="A20" s="5" t="inlineStr">
        <is>
          <t>Программирование и пусконаладка умного дома (интегратор)</t>
        </is>
      </c>
      <c r="B20" s="6" t="n">
        <v>400</v>
      </c>
      <c r="C20" s="6" t="n">
        <v>1000</v>
      </c>
      <c r="D20" s="6">
        <f>(B20+C20)/2</f>
        <v/>
      </c>
    </row>
    <row r="21">
      <c r="A21" s="5" t="inlineStr">
        <is>
          <t>Молниезащита, заземление, пожарная сигнализация</t>
        </is>
      </c>
      <c r="B21" s="6" t="n">
        <v>620</v>
      </c>
      <c r="C21" s="6" t="n">
        <v>1220</v>
      </c>
      <c r="D21" s="6">
        <f>(B21+C21)/2</f>
        <v/>
      </c>
    </row>
    <row r="22">
      <c r="A22" s="5" t="inlineStr">
        <is>
          <t>Наружные сети и подключения (вода, канализация, кабель, дренаж)</t>
        </is>
      </c>
      <c r="B22" s="6" t="n">
        <v>880</v>
      </c>
      <c r="C22" s="6" t="n">
        <v>2270</v>
      </c>
      <c r="D22" s="6">
        <f>(B22+C22)/2</f>
        <v/>
      </c>
    </row>
    <row r="23">
      <c r="A23" s="3" t="inlineStr">
        <is>
          <t>Проекты, надзор, стройплощадка</t>
        </is>
      </c>
      <c r="B23" s="4">
        <f>SUM(B24:B25)</f>
        <v/>
      </c>
      <c r="C23" s="4">
        <f>SUM(C24:C25)</f>
        <v/>
      </c>
      <c r="D23" s="4">
        <f>SUM(D24:D25)</f>
        <v/>
      </c>
    </row>
    <row r="24">
      <c r="A24" s="5" t="inlineStr">
        <is>
          <t>Проектирование инженерии (тендер) и технадзор</t>
        </is>
      </c>
      <c r="B24" s="6" t="n">
        <v>750</v>
      </c>
      <c r="C24" s="6" t="n">
        <v>1800</v>
      </c>
      <c r="D24" s="6">
        <f>(B24+C24)/2</f>
        <v/>
      </c>
    </row>
    <row r="25">
      <c r="A25" s="5" t="inlineStr">
        <is>
          <t>Стройплощадка вне договора: электроэнергия 15 кВт, вода, охрана, дизель</t>
        </is>
      </c>
      <c r="B25" s="6" t="n">
        <v>400</v>
      </c>
      <c r="C25" s="6" t="n">
        <v>800</v>
      </c>
      <c r="D25" s="6">
        <f>(B25+C25)/2</f>
        <v/>
      </c>
    </row>
    <row r="26">
      <c r="A26" s="3" t="inlineStr">
        <is>
          <t>После чистовой (отделка, сантехника, участок, газ 2028)</t>
        </is>
      </c>
      <c r="B26" s="4">
        <f>SUM(B27:B30)</f>
        <v/>
      </c>
      <c r="C26" s="4">
        <f>SUM(C27:C30)</f>
        <v/>
      </c>
      <c r="D26" s="4">
        <f>SUM(D27:D30)</f>
        <v/>
      </c>
    </row>
    <row r="27">
      <c r="A27" s="5" t="inlineStr">
        <is>
          <t>Чистовая отделка: полы, плитка, покраска бруса внутри, потолки, межкомнатные двери</t>
        </is>
      </c>
      <c r="B27" s="6" t="n">
        <v>8800</v>
      </c>
      <c r="C27" s="6" t="n">
        <v>19500</v>
      </c>
      <c r="D27" s="6">
        <f>(B27+C27)/2</f>
        <v/>
      </c>
    </row>
    <row r="28">
      <c r="A28" s="5" t="inlineStr">
        <is>
          <t>Сантехприборы по дизайн-проекту</t>
        </is>
      </c>
      <c r="B28" s="6" t="n">
        <v>1200</v>
      </c>
      <c r="C28" s="6" t="n">
        <v>3500</v>
      </c>
      <c r="D28" s="6">
        <f>(B28+C28)/2</f>
        <v/>
      </c>
    </row>
    <row r="29">
      <c r="A29" s="5" t="inlineStr">
        <is>
          <t>Газ, этап 2 (2028): котёл, газопровод по участку, проект</t>
        </is>
      </c>
      <c r="B29" s="6" t="n">
        <v>480</v>
      </c>
      <c r="C29" s="6" t="n">
        <v>1190</v>
      </c>
      <c r="D29" s="6">
        <f>(B29+C29)/2</f>
        <v/>
      </c>
    </row>
    <row r="30">
      <c r="A30" s="5" t="inlineStr">
        <is>
          <t>Благоустройство: дорожки, настилы, озеленение, забор и ворота</t>
        </is>
      </c>
      <c r="B30" s="6" t="n">
        <v>1300</v>
      </c>
      <c r="C30" s="6" t="n">
        <v>4500</v>
      </c>
      <c r="D30" s="6">
        <f>(B30+C30)/2</f>
        <v/>
      </c>
    </row>
    <row r="31">
      <c r="A31" s="5" t="inlineStr">
        <is>
          <t>Непредвиденные расходы 10–15 % (кроме договора СХ)</t>
        </is>
      </c>
      <c r="B31" s="6">
        <f>ROUND(0.10*(B2+B12+B23+B26-43500),-1)</f>
        <v/>
      </c>
      <c r="C31" s="6">
        <f>ROUND(0.15*(C2+C12+C23+C26-43500),-1)</f>
        <v/>
      </c>
      <c r="D31" s="6">
        <f>(B31+C31)/2</f>
        <v/>
      </c>
    </row>
    <row r="32">
      <c r="A32" s="3" t="inlineStr">
        <is>
          <t>ИТОГО</t>
        </is>
      </c>
      <c r="B32" s="4">
        <f>B2+B12+B23+B26+B31</f>
        <v/>
      </c>
      <c r="C32" s="4">
        <f>C2+C12+C23+C26+C31</f>
        <v/>
      </c>
      <c r="D32" s="4">
        <f>D2+D12+D23+D26+D31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2026-10-21T19:58:50Z</dcterms:created>
  <dcterms:modified xmlns:dcterms="http://purl.org/dc/terms/" xmlns:xsi="http://www.w3.org/2001/XMLSchema-instance" xsi:type="dcterms:W3CDTF">2026-10-21T19:58:50Z</dcterms:modified>
</cp:coreProperties>
</file>