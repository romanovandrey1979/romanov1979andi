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юдж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164" fontId="1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164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9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Раздел / статья</t>
        </is>
      </c>
      <c r="B1" s="2" t="inlineStr">
        <is>
          <t>Мин., тыс. ₽</t>
        </is>
      </c>
      <c r="C1" s="2" t="inlineStr">
        <is>
          <t>Макс., тыс. ₽</t>
        </is>
      </c>
      <c r="D1" s="2" t="inlineStr">
        <is>
          <t>Среднее, тыс. ₽</t>
        </is>
      </c>
    </row>
    <row r="2">
      <c r="A2" s="3" t="inlineStr">
        <is>
          <t>Изыскания, проекты, надзор</t>
        </is>
      </c>
      <c r="B2" s="4">
        <f>SUM(B3:B5)</f>
        <v/>
      </c>
      <c r="C2" s="4">
        <f>SUM(C3:C5)</f>
        <v/>
      </c>
      <c r="D2" s="4">
        <f>SUM(D3:D5)</f>
        <v/>
      </c>
    </row>
    <row r="3">
      <c r="A3" s="5" t="inlineStr">
        <is>
          <t>Топосъёмка, ГПЗУ, вынос осей</t>
        </is>
      </c>
      <c r="B3" s="6" t="n">
        <v>40</v>
      </c>
      <c r="C3" s="6" t="n">
        <v>90</v>
      </c>
      <c r="D3" s="6">
        <f>(B3+C3)/2</f>
        <v/>
      </c>
    </row>
    <row r="4">
      <c r="A4" s="5" t="inlineStr">
        <is>
          <t>Оставшиеся проекты (ЭОМ, СС, ГП, наружные сети, КД6) и проверка инженером</t>
        </is>
      </c>
      <c r="B4" s="6" t="n">
        <v>400</v>
      </c>
      <c r="C4" s="6" t="n">
        <v>900</v>
      </c>
      <c r="D4" s="6">
        <f>(B4+C4)/2</f>
        <v/>
      </c>
    </row>
    <row r="5">
      <c r="A5" s="5" t="inlineStr">
        <is>
          <t>Технический надзор заказчика</t>
        </is>
      </c>
      <c r="B5" s="6" t="n">
        <v>400</v>
      </c>
      <c r="C5" s="6" t="n">
        <v>900</v>
      </c>
      <c r="D5" s="6">
        <f>(B5+C5)/2</f>
        <v/>
      </c>
    </row>
    <row r="6">
      <c r="A6" s="3" t="inlineStr">
        <is>
          <t>Фундамент (КЖ0)</t>
        </is>
      </c>
      <c r="B6" s="4">
        <f>SUM(B7:B8)</f>
        <v/>
      </c>
      <c r="C6" s="4">
        <f>SUM(C7:C8)</f>
        <v/>
      </c>
      <c r="D6" s="4">
        <f>SUM(D7:D8)</f>
        <v/>
      </c>
    </row>
    <row r="7">
      <c r="A7" s="5" t="inlineStr">
        <is>
          <t>Сваи забивные 200×200 L=4 м с забивкой</t>
        </is>
      </c>
      <c r="B7" s="6" t="n">
        <v>700</v>
      </c>
      <c r="C7" s="6" t="n">
        <v>1100</v>
      </c>
      <c r="D7" s="6">
        <f>(B7+C7)/2</f>
        <v/>
      </c>
    </row>
    <row r="8">
      <c r="A8" s="5" t="inlineStr">
        <is>
          <t>Плита 250 мм: бетон, арматура, опалубка, XPS, гидроизоляция, работа, прогрев</t>
        </is>
      </c>
      <c r="B8" s="6" t="n">
        <v>1900</v>
      </c>
      <c r="C8" s="6" t="n">
        <v>2700</v>
      </c>
      <c r="D8" s="6">
        <f>(B8+C8)/2</f>
        <v/>
      </c>
    </row>
    <row r="9">
      <c r="A9" s="3" t="inlineStr">
        <is>
          <t>Коробка дома</t>
        </is>
      </c>
      <c r="B9" s="4">
        <f>SUM(B10:B18)</f>
        <v/>
      </c>
      <c r="C9" s="4">
        <f>SUM(C10:C18)</f>
        <v/>
      </c>
      <c r="D9" s="4">
        <f>SUM(D10:D18)</f>
        <v/>
      </c>
    </row>
    <row r="10">
      <c r="A10" s="5" t="inlineStr">
        <is>
          <t>Домокомплект из клееного бруса 240 мм (КД1–КД3)</t>
        </is>
      </c>
      <c r="B10" s="6" t="n">
        <v>13000</v>
      </c>
      <c r="C10" s="6" t="n">
        <v>18000</v>
      </c>
      <c r="D10" s="6">
        <f>(B10+C10)/2</f>
        <v/>
      </c>
    </row>
    <row r="11">
      <c r="A11" s="5" t="inlineStr">
        <is>
          <t>Сборка домокомплекта</t>
        </is>
      </c>
      <c r="B11" s="6" t="n">
        <v>2500</v>
      </c>
      <c r="C11" s="6" t="n">
        <v>3700</v>
      </c>
      <c r="D11" s="6">
        <f>(B11+C11)/2</f>
        <v/>
      </c>
    </row>
    <row r="12">
      <c r="A12" s="5" t="inlineStr">
        <is>
          <t>Перекрытия: двутавровые балки, утепление, ГВЛ, фанера, ЦПС (КД4)</t>
        </is>
      </c>
      <c r="B12" s="6" t="n">
        <v>1500</v>
      </c>
      <c r="C12" s="6" t="n">
        <v>2300</v>
      </c>
      <c r="D12" s="6">
        <f>(B12+C12)/2</f>
        <v/>
      </c>
    </row>
    <row r="13">
      <c r="A13" s="5" t="inlineStr">
        <is>
          <t>Кровля: стропила, утеплитель, ОСП, фальц, водосток, снегозадержатели (КД5)</t>
        </is>
      </c>
      <c r="B13" s="6" t="n">
        <v>3000</v>
      </c>
      <c r="C13" s="6" t="n">
        <v>4600</v>
      </c>
      <c r="D13" s="6">
        <f>(B13+C13)/2</f>
        <v/>
      </c>
    </row>
    <row r="14">
      <c r="A14" s="5" t="inlineStr">
        <is>
          <t>Каркасные перегородки (КД6)</t>
        </is>
      </c>
      <c r="B14" s="6" t="n">
        <v>800</v>
      </c>
      <c r="C14" s="6" t="n">
        <v>1400</v>
      </c>
      <c r="D14" s="6">
        <f>(B14+C14)/2</f>
        <v/>
      </c>
    </row>
    <row r="15">
      <c r="A15" s="5" t="inlineStr">
        <is>
          <t>Окна и витражи ≈ 229 м² (2-камерные энергосберегающие) с монтажом</t>
        </is>
      </c>
      <c r="B15" s="6" t="n">
        <v>5700</v>
      </c>
      <c r="C15" s="6" t="n">
        <v>9200</v>
      </c>
      <c r="D15" s="6">
        <f>(B15+C15)/2</f>
        <v/>
      </c>
    </row>
    <row r="16">
      <c r="A16" s="5" t="inlineStr">
        <is>
          <t>Входные двери</t>
        </is>
      </c>
      <c r="B16" s="6" t="n">
        <v>300</v>
      </c>
      <c r="C16" s="6" t="n">
        <v>800</v>
      </c>
      <c r="D16" s="6">
        <f>(B16+C16)/2</f>
        <v/>
      </c>
    </row>
    <row r="17">
      <c r="A17" s="5" t="inlineStr">
        <is>
          <t>Лестница</t>
        </is>
      </c>
      <c r="B17" s="6" t="n">
        <v>800</v>
      </c>
      <c r="C17" s="6" t="n">
        <v>2000</v>
      </c>
      <c r="D17" s="6">
        <f>(B17+C17)/2</f>
        <v/>
      </c>
    </row>
    <row r="18">
      <c r="A18" s="5" t="inlineStr">
        <is>
          <t>Фасад: шлифовка, покраска бруса, подшивка, цоколь</t>
        </is>
      </c>
      <c r="B18" s="6" t="n">
        <v>1200</v>
      </c>
      <c r="C18" s="6" t="n">
        <v>2200</v>
      </c>
      <c r="D18" s="6">
        <f>(B18+C18)/2</f>
        <v/>
      </c>
    </row>
    <row r="19">
      <c r="A19" s="3" t="inlineStr">
        <is>
          <t>Инженерные системы</t>
        </is>
      </c>
      <c r="B19" s="4">
        <f>SUM(B20:B34)</f>
        <v/>
      </c>
      <c r="C19" s="4">
        <f>SUM(C20:C34)</f>
        <v/>
      </c>
      <c r="D19" s="4">
        <f>SUM(D20:D34)</f>
        <v/>
      </c>
    </row>
    <row r="20">
      <c r="A20" s="5" t="inlineStr">
        <is>
          <t>Вентиляция и кондиционирование (291-ОВК), под ключ</t>
        </is>
      </c>
      <c r="B20" s="6" t="n">
        <v>4550</v>
      </c>
      <c r="C20" s="6" t="n">
        <v>7600</v>
      </c>
      <c r="D20" s="6">
        <f>(B20+C20)/2</f>
        <v/>
      </c>
    </row>
    <row r="21">
      <c r="A21" s="5" t="inlineStr">
        <is>
          <t>Отопление и котельная, этап 1: пеллетный + электрокотёл, буфер, бойлер, обвязка</t>
        </is>
      </c>
      <c r="B21" s="6" t="n">
        <v>1600</v>
      </c>
      <c r="C21" s="6" t="n">
        <v>3100</v>
      </c>
      <c r="D21" s="6">
        <f>(B21+C21)/2</f>
        <v/>
      </c>
    </row>
    <row r="22">
      <c r="A22" s="5" t="inlineStr">
        <is>
          <t>Тёплые полы (≈ 400 м²) и внутрипольные конвекторы/радиаторы</t>
        </is>
      </c>
      <c r="B22" s="6" t="n">
        <v>2200</v>
      </c>
      <c r="C22" s="6" t="n">
        <v>3700</v>
      </c>
      <c r="D22" s="6">
        <f>(B22+C22)/2</f>
        <v/>
      </c>
    </row>
    <row r="23">
      <c r="A23" s="5" t="inlineStr">
        <is>
          <t>Дымоход, огнезащита котельной, пеллетный склад с подачей</t>
        </is>
      </c>
      <c r="B23" s="6" t="n">
        <v>500</v>
      </c>
      <c r="C23" s="6" t="n">
        <v>1100</v>
      </c>
      <c r="D23" s="6">
        <f>(B23+C23)/2</f>
        <v/>
      </c>
    </row>
    <row r="24">
      <c r="A24" s="5" t="inlineStr">
        <is>
          <t>Газ, этап 2: подключение, проект ГСВ, конденсационный котёл с монтажом</t>
        </is>
      </c>
      <c r="B24" s="6" t="n">
        <v>450</v>
      </c>
      <c r="C24" s="6" t="n">
        <v>1100</v>
      </c>
      <c r="D24" s="6">
        <f>(B24+C24)/2</f>
        <v/>
      </c>
    </row>
    <row r="25">
      <c r="A25" s="5" t="inlineStr">
        <is>
          <t>Водопровод и канализация внутренние (291-ВК) с монтажом</t>
        </is>
      </c>
      <c r="B25" s="6" t="n">
        <v>900</v>
      </c>
      <c r="C25" s="6" t="n">
        <v>1500</v>
      </c>
      <c r="D25" s="6">
        <f>(B25+C25)/2</f>
        <v/>
      </c>
    </row>
    <row r="26">
      <c r="A26" s="5" t="inlineStr">
        <is>
          <t>Сантехнические приборы (по дизайн-проекту)</t>
        </is>
      </c>
      <c r="B26" s="6" t="n">
        <v>1200</v>
      </c>
      <c r="C26" s="6" t="n">
        <v>3500</v>
      </c>
      <c r="D26" s="6">
        <f>(B26+C26)/2</f>
        <v/>
      </c>
    </row>
    <row r="27">
      <c r="A27" s="5" t="inlineStr">
        <is>
          <t>Защита от протечек, водоподготовка</t>
        </is>
      </c>
      <c r="B27" s="6" t="n">
        <v>100</v>
      </c>
      <c r="C27" s="6" t="n">
        <v>250</v>
      </c>
      <c r="D27" s="6">
        <f>(B27+C27)/2</f>
        <v/>
      </c>
    </row>
    <row r="28">
      <c r="A28" s="5" t="inlineStr">
        <is>
          <t>Подключение к центральным водопроводу и канализации (ТУ, наружные сети)</t>
        </is>
      </c>
      <c r="B28" s="6" t="n">
        <v>300</v>
      </c>
      <c r="C28" s="6" t="n">
        <v>1200</v>
      </c>
      <c r="D28" s="6">
        <f>(B28+C28)/2</f>
        <v/>
      </c>
    </row>
    <row r="29">
      <c r="A29" s="5" t="inlineStr">
        <is>
          <t>Электроснабжение: техприсоединение 50 кВт, ВРУ, ввод</t>
        </is>
      </c>
      <c r="B29" s="6" t="n">
        <v>300</v>
      </c>
      <c r="C29" s="6" t="n">
        <v>1200</v>
      </c>
      <c r="D29" s="6">
        <f>(B29+C29)/2</f>
        <v/>
      </c>
    </row>
    <row r="30">
      <c r="A30" s="5" t="inlineStr">
        <is>
          <t>ЭОМ внутренние (щиты, кабели, розетки, выключатели)</t>
        </is>
      </c>
      <c r="B30" s="6" t="n">
        <v>1600</v>
      </c>
      <c r="C30" s="6" t="n">
        <v>2800</v>
      </c>
      <c r="D30" s="6">
        <f>(B30+C30)/2</f>
        <v/>
      </c>
    </row>
    <row r="31">
      <c r="A31" s="5" t="inlineStr">
        <is>
          <t>Светильники</t>
        </is>
      </c>
      <c r="B31" s="6" t="n">
        <v>500</v>
      </c>
      <c r="C31" s="6" t="n">
        <v>2000</v>
      </c>
      <c r="D31" s="6">
        <f>(B31+C31)/2</f>
        <v/>
      </c>
    </row>
    <row r="32">
      <c r="A32" s="5" t="inlineStr">
        <is>
          <t>Слаботочные системы, видеонаблюдение, «умный дом» (база)</t>
        </is>
      </c>
      <c r="B32" s="6" t="n">
        <v>400</v>
      </c>
      <c r="C32" s="6" t="n">
        <v>1200</v>
      </c>
      <c r="D32" s="6">
        <f>(B32+C32)/2</f>
        <v/>
      </c>
    </row>
    <row r="33">
      <c r="A33" s="5" t="inlineStr">
        <is>
          <t>Молниезащита и заземление (291-МЗ.ПС)</t>
        </is>
      </c>
      <c r="B33" s="6" t="n">
        <v>250</v>
      </c>
      <c r="C33" s="6" t="n">
        <v>450</v>
      </c>
      <c r="D33" s="6">
        <f>(B33+C33)/2</f>
        <v/>
      </c>
    </row>
    <row r="34">
      <c r="A34" s="5" t="inlineStr">
        <is>
          <t>Пожарная сигнализация (291-МЗ.ПС)</t>
        </is>
      </c>
      <c r="B34" s="6" t="n">
        <v>60</v>
      </c>
      <c r="C34" s="6" t="n">
        <v>150</v>
      </c>
      <c r="D34" s="6">
        <f>(B34+C34)/2</f>
        <v/>
      </c>
    </row>
    <row r="35">
      <c r="A35" s="3" t="inlineStr">
        <is>
          <t>Отделка и участок</t>
        </is>
      </c>
      <c r="B35" s="4">
        <f>SUM(B36:B38)</f>
        <v/>
      </c>
      <c r="C35" s="4">
        <f>SUM(C36:C38)</f>
        <v/>
      </c>
      <c r="D35" s="4">
        <f>SUM(D36:D38)</f>
        <v/>
      </c>
    </row>
    <row r="36">
      <c r="A36" s="5" t="inlineStr">
        <is>
          <t>Внутренняя отделка (полы, плитка, покраска, потолки, двери)</t>
        </is>
      </c>
      <c r="B36" s="6" t="n">
        <v>8800</v>
      </c>
      <c r="C36" s="6" t="n">
        <v>19500</v>
      </c>
      <c r="D36" s="6">
        <f>(B36+C36)/2</f>
        <v/>
      </c>
    </row>
    <row r="37">
      <c r="A37" s="5" t="inlineStr">
        <is>
          <t>Благоустройство: отмостка, дорожки, ливнёвка, озеленение</t>
        </is>
      </c>
      <c r="B37" s="6" t="n">
        <v>1500</v>
      </c>
      <c r="C37" s="6" t="n">
        <v>5000</v>
      </c>
      <c r="D37" s="6">
        <f>(B37+C37)/2</f>
        <v/>
      </c>
    </row>
    <row r="38">
      <c r="A38" s="5" t="inlineStr">
        <is>
          <t>Временные сооружения, вывоз мусора, охрана</t>
        </is>
      </c>
      <c r="B38" s="6" t="n">
        <v>400</v>
      </c>
      <c r="C38" s="6" t="n">
        <v>800</v>
      </c>
      <c r="D38" s="6">
        <f>(B38+C38)/2</f>
        <v/>
      </c>
    </row>
    <row r="39">
      <c r="A39" s="5" t="inlineStr">
        <is>
          <t>Непредвиденные расходы 7 %</t>
        </is>
      </c>
      <c r="B39" s="6">
        <f>ROUND(0.07*(B2+B6+B9+B19+B35),-1)</f>
        <v/>
      </c>
      <c r="C39" s="6">
        <f>ROUND(0.07*(C2+C6+C9+C19+C35),-1)</f>
        <v/>
      </c>
      <c r="D39" s="6">
        <f>ROUND(0.07*(D2+D6+D9+D19+D35),-1)</f>
        <v/>
      </c>
    </row>
    <row r="40">
      <c r="A40" s="3" t="inlineStr">
        <is>
          <t>ИТОГО</t>
        </is>
      </c>
      <c r="B40" s="4">
        <f>B2+B6+B9+B19+B35+B39</f>
        <v/>
      </c>
      <c r="C40" s="4">
        <f>C2+C6+C9+C19+C35+C39</f>
        <v/>
      </c>
      <c r="D40" s="4">
        <f>D2+D6+D9+D19+D35+D39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2026-10-17T21:05:20Z</dcterms:created>
  <dcterms:modified xmlns:dcterms="http://purl.org/dc/terms/" xmlns:xsi="http://www.w3.org/2001/XMLSchema-instance" xsi:type="dcterms:W3CDTF">2026-10-17T21:05:20Z</dcterms:modified>
</cp:coreProperties>
</file>