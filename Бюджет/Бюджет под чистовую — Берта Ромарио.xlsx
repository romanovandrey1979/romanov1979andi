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 чистову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Группа</t>
        </is>
      </c>
      <c r="B1" s="1" t="inlineStr">
        <is>
          <t>Блок</t>
        </is>
      </c>
      <c r="C1" s="1" t="inlineStr">
        <is>
          <t>Мин., ₽</t>
        </is>
      </c>
      <c r="D1" s="1" t="inlineStr">
        <is>
          <t>Макс., ₽</t>
        </is>
      </c>
      <c r="E1" s="1" t="inlineStr">
        <is>
          <t>Среднее, ₽</t>
        </is>
      </c>
      <c r="F1" s="1" t="inlineStr">
        <is>
          <t>Примечание</t>
        </is>
      </c>
    </row>
    <row r="2">
      <c r="A2" s="2" t="inlineStr">
        <is>
          <t>Коробка</t>
        </is>
      </c>
      <c r="B2" s="2" t="inlineStr">
        <is>
          <t>Строй Хауз: площадка, фундамент, брус, перекрытие, стропила, кровля, водосток (договор № 26/10-06/1)</t>
        </is>
      </c>
      <c r="C2" s="3" t="n">
        <v>43500000</v>
      </c>
      <c r="D2" s="3" t="n">
        <v>43500000</v>
      </c>
      <c r="E2" s="3">
        <f>(C2+D2)/2</f>
        <v/>
      </c>
      <c r="F2" s="2" t="inlineStr">
        <is>
          <t>подписано 43,5; 42,0 после допсоглашения</t>
        </is>
      </c>
    </row>
    <row r="3">
      <c r="A3" s="2" t="inlineStr">
        <is>
          <t>Коробка</t>
        </is>
      </c>
      <c r="B3" s="2" t="inlineStr">
        <is>
          <t>Окна и витражи ≈ 224–230 м², Schüco / Alutech, с монтажом и опциями</t>
        </is>
      </c>
      <c r="C3" s="3" t="n">
        <v>20900000</v>
      </c>
      <c r="D3" s="3" t="n">
        <v>26500000</v>
      </c>
      <c r="E3" s="3">
        <f>(C3+D3)/2</f>
        <v/>
      </c>
      <c r="F3" s="2" t="inlineStr">
        <is>
          <t>тендер: КП до 31.10</t>
        </is>
      </c>
    </row>
    <row r="4">
      <c r="A4" s="2" t="inlineStr">
        <is>
          <t>Коробка</t>
        </is>
      </c>
      <c r="B4" s="2" t="inlineStr">
        <is>
          <t>Входные двери</t>
        </is>
      </c>
      <c r="C4" s="3" t="n">
        <v>300000</v>
      </c>
      <c r="D4" s="3" t="n">
        <v>800000</v>
      </c>
      <c r="E4" s="3">
        <f>(C4+D4)/2</f>
        <v/>
      </c>
      <c r="F4" s="2" t="inlineStr">
        <is>
          <t>не входит в договор СХ</t>
        </is>
      </c>
    </row>
    <row r="5">
      <c r="A5" s="2" t="inlineStr">
        <is>
          <t>Коробка</t>
        </is>
      </c>
      <c r="B5" s="2" t="inlineStr">
        <is>
          <t>Защитное покрытие бруса снаружи (в течение 30 дней после сборки — условие гарантии), цоколь</t>
        </is>
      </c>
      <c r="C5" s="3" t="n">
        <v>1200000</v>
      </c>
      <c r="D5" s="3" t="n">
        <v>2200000</v>
      </c>
      <c r="E5" s="3">
        <f>(C5+D5)/2</f>
        <v/>
      </c>
      <c r="F5" s="2" t="inlineStr">
        <is>
          <t>не входит в договор СХ</t>
        </is>
      </c>
    </row>
    <row r="6">
      <c r="A6" s="2" t="inlineStr">
        <is>
          <t>Коробка</t>
        </is>
      </c>
      <c r="B6" s="2" t="inlineStr">
        <is>
          <t>Каркасные перегородки (КД6)</t>
        </is>
      </c>
      <c r="C6" s="3" t="n">
        <v>800000</v>
      </c>
      <c r="D6" s="3" t="n">
        <v>1400000</v>
      </c>
      <c r="E6" s="3">
        <f>(C6+D6)/2</f>
        <v/>
      </c>
      <c r="F6" s="2" t="inlineStr">
        <is>
          <t>не входит в договор СХ</t>
        </is>
      </c>
    </row>
    <row r="7">
      <c r="A7" s="2" t="inlineStr">
        <is>
          <t>Коробка</t>
        </is>
      </c>
      <c r="B7" s="2" t="inlineStr">
        <is>
          <t>Стяжка с тёплым полом 1 этажа ≈ 210 м²</t>
        </is>
      </c>
      <c r="C7" s="3" t="n">
        <v>273000</v>
      </c>
      <c r="D7" s="3" t="n">
        <v>462000</v>
      </c>
      <c r="E7" s="3">
        <f>(C7+D7)/2</f>
        <v/>
      </c>
      <c r="F7" s="2" t="inlineStr">
        <is>
          <t>не входит в договор СХ</t>
        </is>
      </c>
    </row>
    <row r="8">
      <c r="A8" s="2" t="inlineStr">
        <is>
          <t>Коробка</t>
        </is>
      </c>
      <c r="B8" s="2" t="inlineStr">
        <is>
          <t>Лестница, схема Б: металлокаркас + бетон, отделка, ограждение</t>
        </is>
      </c>
      <c r="C8" s="3" t="n">
        <v>850000</v>
      </c>
      <c r="D8" s="3" t="n">
        <v>1800000</v>
      </c>
      <c r="E8" s="3">
        <f>(C8+D8)/2</f>
        <v/>
      </c>
      <c r="F8" s="2" t="inlineStr">
        <is>
          <t>не входит в договор СХ</t>
        </is>
      </c>
    </row>
    <row r="9">
      <c r="A9" s="2" t="inlineStr">
        <is>
          <t>Коробка</t>
        </is>
      </c>
      <c r="B9" s="2" t="inlineStr">
        <is>
          <t>Камин дровяной с дымоходом и подводом воздуха</t>
        </is>
      </c>
      <c r="C9" s="3" t="n">
        <v>400000</v>
      </c>
      <c r="D9" s="3" t="n">
        <v>1200000</v>
      </c>
      <c r="E9" s="3">
        <f>(C9+D9)/2</f>
        <v/>
      </c>
      <c r="F9" s="2" t="inlineStr">
        <is>
          <t>не входит в договор СХ</t>
        </is>
      </c>
    </row>
    <row r="10">
      <c r="A10" s="2" t="inlineStr">
        <is>
          <t>Коробка</t>
        </is>
      </c>
      <c r="B10" s="2" t="inlineStr">
        <is>
          <t>Отмостка</t>
        </is>
      </c>
      <c r="C10" s="3" t="n">
        <v>500000</v>
      </c>
      <c r="D10" s="3" t="n">
        <v>900000</v>
      </c>
      <c r="E10" s="3">
        <f>(C10+D10)/2</f>
        <v/>
      </c>
      <c r="F10" s="2" t="inlineStr">
        <is>
          <t>не входит в договор СХ</t>
        </is>
      </c>
    </row>
    <row r="11">
      <c r="A11" s="2" t="inlineStr">
        <is>
          <t>Инженерия</t>
        </is>
      </c>
      <c r="B11" s="2" t="inlineStr">
        <is>
          <t>Вентиляция и кондиционирование, увлажнение</t>
        </is>
      </c>
      <c r="C11" s="3" t="n">
        <v>6674000</v>
      </c>
      <c r="D11" s="3" t="n">
        <v>11529000</v>
      </c>
      <c r="E11" s="3">
        <f>(C11+D11)/2</f>
        <v/>
      </c>
      <c r="F11" s="2" t="inlineStr"/>
    </row>
    <row r="12">
      <c r="A12" s="2" t="inlineStr">
        <is>
          <t>Инженерия</t>
        </is>
      </c>
      <c r="B12" s="2" t="inlineStr">
        <is>
          <t>Отопление и котельная (пеллеты + электро)</t>
        </is>
      </c>
      <c r="C12" s="3" t="n">
        <v>4164000</v>
      </c>
      <c r="D12" s="3" t="n">
        <v>8369000</v>
      </c>
      <c r="E12" s="3">
        <f>(C12+D12)/2</f>
        <v/>
      </c>
      <c r="F12" s="2" t="inlineStr"/>
    </row>
    <row r="13">
      <c r="A13" s="2" t="inlineStr">
        <is>
          <t>Инженерия</t>
        </is>
      </c>
      <c r="B13" s="2" t="inlineStr">
        <is>
          <t>Водопровод и канализация (без сантехприборов)</t>
        </is>
      </c>
      <c r="C13" s="3" t="n">
        <v>1185000</v>
      </c>
      <c r="D13" s="3" t="n">
        <v>2382000</v>
      </c>
      <c r="E13" s="3">
        <f>(C13+D13)/2</f>
        <v/>
      </c>
      <c r="F13" s="2" t="inlineStr"/>
    </row>
    <row r="14">
      <c r="A14" s="2" t="inlineStr">
        <is>
          <t>Инженерия</t>
        </is>
      </c>
      <c r="B14" s="2" t="inlineStr">
        <is>
          <t>Электрика, свет Maytoni (−50 %), батарея и генератор</t>
        </is>
      </c>
      <c r="C14" s="3" t="n">
        <v>6081000</v>
      </c>
      <c r="D14" s="3" t="n">
        <v>11784000</v>
      </c>
      <c r="E14" s="3">
        <f>(C14+D14)/2</f>
        <v/>
      </c>
      <c r="F14" s="2" t="inlineStr"/>
    </row>
    <row r="15">
      <c r="A15" s="2" t="inlineStr">
        <is>
          <t>Инженерия</t>
        </is>
      </c>
      <c r="B15" s="2" t="inlineStr">
        <is>
          <t>Сеть, умный дом HA, камеры, домофон, охрана, базовое аудио</t>
        </is>
      </c>
      <c r="C15" s="3" t="n">
        <v>2042000</v>
      </c>
      <c r="D15" s="3" t="n">
        <v>4911000</v>
      </c>
      <c r="E15" s="3">
        <f>(C15+D15)/2</f>
        <v/>
      </c>
      <c r="F15" s="2" t="inlineStr"/>
    </row>
    <row r="16">
      <c r="A16" s="2" t="inlineStr">
        <is>
          <t>Инженерия</t>
        </is>
      </c>
      <c r="B16" s="2" t="inlineStr">
        <is>
          <t>Аудио и кинозона сверх базового (5.1, экран/проектор)</t>
        </is>
      </c>
      <c r="C16" s="3" t="n">
        <v>500000</v>
      </c>
      <c r="D16" s="3" t="n">
        <v>1500000</v>
      </c>
      <c r="E16" s="3">
        <f>(C16+D16)/2</f>
        <v/>
      </c>
      <c r="F16" s="2" t="inlineStr"/>
    </row>
    <row r="17">
      <c r="A17" s="2" t="inlineStr">
        <is>
          <t>Инженерия</t>
        </is>
      </c>
      <c r="B17" s="2" t="inlineStr">
        <is>
          <t>Приводы штор и карнизы 12–15 шт.</t>
        </is>
      </c>
      <c r="C17" s="3" t="n">
        <v>400000</v>
      </c>
      <c r="D17" s="3" t="n">
        <v>900000</v>
      </c>
      <c r="E17" s="3">
        <f>(C17+D17)/2</f>
        <v/>
      </c>
      <c r="F17" s="2" t="inlineStr"/>
    </row>
    <row r="18">
      <c r="A18" s="2" t="inlineStr">
        <is>
          <t>Инженерия</t>
        </is>
      </c>
      <c r="B18" s="2" t="inlineStr">
        <is>
          <t>Программирование и пусконаладка умного дома (интегратор)</t>
        </is>
      </c>
      <c r="C18" s="3" t="n">
        <v>400000</v>
      </c>
      <c r="D18" s="3" t="n">
        <v>1000000</v>
      </c>
      <c r="E18" s="3">
        <f>(C18+D18)/2</f>
        <v/>
      </c>
      <c r="F18" s="2" t="inlineStr"/>
    </row>
    <row r="19">
      <c r="A19" s="2" t="inlineStr">
        <is>
          <t>Инженерия</t>
        </is>
      </c>
      <c r="B19" s="2" t="inlineStr">
        <is>
          <t>Молниезащита, заземление, пожарная сигнализация</t>
        </is>
      </c>
      <c r="C19" s="3" t="n">
        <v>617000</v>
      </c>
      <c r="D19" s="3" t="n">
        <v>1220000</v>
      </c>
      <c r="E19" s="3">
        <f>(C19+D19)/2</f>
        <v/>
      </c>
      <c r="F19" s="2" t="inlineStr"/>
    </row>
    <row r="20">
      <c r="A20" s="2" t="inlineStr">
        <is>
          <t>Инженерия</t>
        </is>
      </c>
      <c r="B20" s="2" t="inlineStr">
        <is>
          <t>Наружные сети и подключения (вода, канализация, кабель, дренаж)</t>
        </is>
      </c>
      <c r="C20" s="3" t="n">
        <v>880000</v>
      </c>
      <c r="D20" s="3" t="n">
        <v>2268000</v>
      </c>
      <c r="E20" s="3">
        <f>(C20+D20)/2</f>
        <v/>
      </c>
      <c r="F20" s="2" t="inlineStr">
        <is>
          <t>до ТУ посёлка</t>
        </is>
      </c>
    </row>
    <row r="21">
      <c r="A21" s="2" t="inlineStr">
        <is>
          <t>Организация</t>
        </is>
      </c>
      <c r="B21" s="2" t="inlineStr">
        <is>
          <t>Проектирование инженерии (тендер) и технадзор</t>
        </is>
      </c>
      <c r="C21" s="3" t="n">
        <v>750000</v>
      </c>
      <c r="D21" s="3" t="n">
        <v>1800000</v>
      </c>
      <c r="E21" s="3">
        <f>(C21+D21)/2</f>
        <v/>
      </c>
      <c r="F21" s="2" t="inlineStr"/>
    </row>
    <row r="22">
      <c r="A22" s="2" t="inlineStr">
        <is>
          <t>Организация</t>
        </is>
      </c>
      <c r="B22" s="2" t="inlineStr">
        <is>
          <t>Стройплощадка вне договора: электроэнергия 15 кВт, вода, охрана, дизель</t>
        </is>
      </c>
      <c r="C22" s="3" t="n">
        <v>400000</v>
      </c>
      <c r="D22" s="3" t="n">
        <v>800000</v>
      </c>
      <c r="E22" s="3">
        <f>(C22+D22)/2</f>
        <v/>
      </c>
      <c r="F22" s="2" t="inlineStr">
        <is>
          <t>не входит в договор СХ</t>
        </is>
      </c>
    </row>
    <row r="23">
      <c r="A23" s="2" t="inlineStr"/>
      <c r="B23" s="2" t="inlineStr">
        <is>
          <t>Непредвиденные 10–15 % (на незаконтрактованную часть)</t>
        </is>
      </c>
      <c r="C23" s="3">
        <f>ROUND(0.1*SUM(C3:C22),-3)</f>
        <v/>
      </c>
      <c r="D23" s="3">
        <f>ROUND(0.15*SUM(D3:D22),-3)</f>
        <v/>
      </c>
      <c r="E23" s="3">
        <f>(C23+D23)/2</f>
        <v/>
      </c>
      <c r="F23" s="2" t="inlineStr"/>
    </row>
    <row r="24">
      <c r="A24" s="4" t="inlineStr"/>
      <c r="B24" s="4" t="inlineStr">
        <is>
          <t>ИТОГО под чистовую</t>
        </is>
      </c>
      <c r="C24" s="5">
        <f>SUM(C2:C23)</f>
        <v/>
      </c>
      <c r="D24" s="5">
        <f>SUM(D2:D23)</f>
        <v/>
      </c>
      <c r="E24" s="5">
        <f>(C24+D24)/2</f>
        <v/>
      </c>
      <c r="F24" s="4" t="inlineStr"/>
    </row>
    <row r="25">
      <c r="A25" s="2" t="n"/>
      <c r="B25" s="2" t="n"/>
      <c r="C25" s="2" t="n"/>
      <c r="D25" s="2" t="n"/>
      <c r="E25" s="2" t="n"/>
      <c r="F25" s="2" t="n"/>
    </row>
    <row r="26">
      <c r="A26" s="2" t="inlineStr"/>
      <c r="B26" s="2" t="inlineStr">
        <is>
          <t>После — не входит в итог</t>
        </is>
      </c>
      <c r="C26" s="2" t="n"/>
      <c r="D26" s="2" t="n"/>
      <c r="E26" s="2" t="n"/>
      <c r="F26" s="2" t="inlineStr"/>
    </row>
    <row r="27">
      <c r="A27" s="2" t="inlineStr">
        <is>
          <t>Позже</t>
        </is>
      </c>
      <c r="B27" s="2" t="inlineStr">
        <is>
          <t>Чистовая отделка: полы, плитка, покраска бруса внутри, потолки, межкомнатные двери</t>
        </is>
      </c>
      <c r="C27" s="3" t="n">
        <v>8800000</v>
      </c>
      <c r="D27" s="3" t="n">
        <v>19500000</v>
      </c>
      <c r="E27" s="3">
        <f>(C27+D27)/2</f>
        <v/>
      </c>
      <c r="F27" s="2" t="inlineStr"/>
    </row>
    <row r="28">
      <c r="A28" s="2" t="inlineStr">
        <is>
          <t>Позже</t>
        </is>
      </c>
      <c r="B28" s="2" t="inlineStr">
        <is>
          <t>Сантехприборы по дизайн-проекту</t>
        </is>
      </c>
      <c r="C28" s="3" t="n">
        <v>1200000</v>
      </c>
      <c r="D28" s="3" t="n">
        <v>3500000</v>
      </c>
      <c r="E28" s="3">
        <f>(C28+D28)/2</f>
        <v/>
      </c>
      <c r="F28" s="2" t="inlineStr"/>
    </row>
    <row r="29">
      <c r="A29" s="2" t="inlineStr">
        <is>
          <t>Позже</t>
        </is>
      </c>
      <c r="B29" s="2" t="inlineStr">
        <is>
          <t>Газ, этап 2 (2028): котёл, газопровод по участку, проект</t>
        </is>
      </c>
      <c r="C29" s="3" t="n">
        <v>480000</v>
      </c>
      <c r="D29" s="3" t="n">
        <v>1190000</v>
      </c>
      <c r="E29" s="3">
        <f>(C29+D29)/2</f>
        <v/>
      </c>
      <c r="F29" s="2" t="inlineStr"/>
    </row>
    <row r="30">
      <c r="A30" s="2" t="inlineStr">
        <is>
          <t>Позже</t>
        </is>
      </c>
      <c r="B30" s="2" t="inlineStr">
        <is>
          <t>Благоустройство: дорожки, настилы, озеленение, забор и ворота</t>
        </is>
      </c>
      <c r="C30" s="3" t="n">
        <v>1300000</v>
      </c>
      <c r="D30" s="3" t="n">
        <v>4500000</v>
      </c>
      <c r="E30" s="3">
        <f>(C30+D30)/2</f>
        <v/>
      </c>
      <c r="F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2026-10-21T20:46:27Z</dcterms:created>
  <dcterms:modified xmlns:dcterms="http://purl.org/dc/terms/" xmlns:xsi="http://www.w3.org/2001/XMLSchema-instance" xsi:type="dcterms:W3CDTF">2026-10-21T20:46:27Z</dcterms:modified>
</cp:coreProperties>
</file>