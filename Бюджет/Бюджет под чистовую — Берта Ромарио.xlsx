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од чистовую" sheetId="1" state="visible" r:id="rId1"/>
    <sheet xmlns:r="http://schemas.openxmlformats.org/officeDocument/2006/relationships" name="Свет Mayt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4" customWidth="1" min="1" max="1"/>
    <col width="70" customWidth="1" min="2" max="2"/>
    <col width="15" customWidth="1" min="3" max="3"/>
    <col width="15" customWidth="1" min="4" max="4"/>
    <col width="15" customWidth="1" min="5" max="5"/>
    <col width="34" customWidth="1" min="6" max="6"/>
  </cols>
  <sheetData>
    <row r="1">
      <c r="A1" s="1" t="inlineStr">
        <is>
          <t>Группа</t>
        </is>
      </c>
      <c r="B1" s="1" t="inlineStr">
        <is>
          <t>Блок</t>
        </is>
      </c>
      <c r="C1" s="1" t="inlineStr">
        <is>
          <t>Мин., ₽</t>
        </is>
      </c>
      <c r="D1" s="1" t="inlineStr">
        <is>
          <t>Макс., ₽</t>
        </is>
      </c>
      <c r="E1" s="1" t="inlineStr">
        <is>
          <t>Среднее, ₽</t>
        </is>
      </c>
      <c r="F1" s="1" t="inlineStr">
        <is>
          <t>Примечание</t>
        </is>
      </c>
    </row>
    <row r="2">
      <c r="A2" s="2" t="inlineStr">
        <is>
          <t>Коробка</t>
        </is>
      </c>
      <c r="B2" s="2" t="inlineStr">
        <is>
          <t>Строй Хауз: фундамент, стены, кровля (договор)</t>
        </is>
      </c>
      <c r="C2" s="3" t="n">
        <v>42000000</v>
      </c>
      <c r="D2" s="3" t="n">
        <v>42000000</v>
      </c>
      <c r="E2" s="3">
        <f>(C2+D2)/2</f>
        <v/>
      </c>
      <c r="F2" s="2" t="inlineStr">
        <is>
          <t>фикс.</t>
        </is>
      </c>
    </row>
    <row r="3">
      <c r="A3" s="2" t="inlineStr">
        <is>
          <t>Коробка</t>
        </is>
      </c>
      <c r="B3" s="2" t="inlineStr">
        <is>
          <t>Окна и витражи ≈ 229 м², энергосберегающие, с монтажом</t>
        </is>
      </c>
      <c r="C3" s="3" t="n">
        <v>5725000</v>
      </c>
      <c r="D3" s="3" t="n">
        <v>9160000</v>
      </c>
      <c r="E3" s="3">
        <f>(C3+D3)/2</f>
        <v/>
      </c>
      <c r="F3" s="2" t="inlineStr"/>
    </row>
    <row r="4">
      <c r="A4" s="2" t="inlineStr">
        <is>
          <t>Коробка</t>
        </is>
      </c>
      <c r="B4" s="2" t="inlineStr">
        <is>
          <t>Входные двери</t>
        </is>
      </c>
      <c r="C4" s="3" t="n">
        <v>300000</v>
      </c>
      <c r="D4" s="3" t="n">
        <v>800000</v>
      </c>
      <c r="E4" s="3">
        <f>(C4+D4)/2</f>
        <v/>
      </c>
      <c r="F4" s="2" t="inlineStr"/>
    </row>
    <row r="5">
      <c r="A5" s="2" t="inlineStr">
        <is>
          <t>Коробка</t>
        </is>
      </c>
      <c r="B5" s="2" t="inlineStr">
        <is>
          <t>Фасад: шлифовка, покраска бруса, подшивка свесов, цоколь</t>
        </is>
      </c>
      <c r="C5" s="3" t="n">
        <v>1200000</v>
      </c>
      <c r="D5" s="3" t="n">
        <v>2200000</v>
      </c>
      <c r="E5" s="3">
        <f>(C5+D5)/2</f>
        <v/>
      </c>
      <c r="F5" s="2" t="inlineStr">
        <is>
          <t>если не входит в договор Строй Хауза</t>
        </is>
      </c>
    </row>
    <row r="6">
      <c r="A6" s="2" t="inlineStr">
        <is>
          <t>Коробка</t>
        </is>
      </c>
      <c r="B6" s="2" t="inlineStr">
        <is>
          <t>Каркасные перегородки (КД6)</t>
        </is>
      </c>
      <c r="C6" s="3" t="n">
        <v>800000</v>
      </c>
      <c r="D6" s="3" t="n">
        <v>1400000</v>
      </c>
      <c r="E6" s="3">
        <f>(C6+D6)/2</f>
        <v/>
      </c>
      <c r="F6" s="2" t="inlineStr">
        <is>
          <t>если не входит в договор Строй Хауза</t>
        </is>
      </c>
    </row>
    <row r="7">
      <c r="A7" s="2" t="inlineStr">
        <is>
          <t>Коробка</t>
        </is>
      </c>
      <c r="B7" s="2" t="inlineStr">
        <is>
          <t>Стяжки пола по тёплому полу ≈ 438 м²</t>
        </is>
      </c>
      <c r="C7" s="3" t="n">
        <v>569000</v>
      </c>
      <c r="D7" s="3" t="n">
        <v>964000</v>
      </c>
      <c r="E7" s="3">
        <f>(C7+D7)/2</f>
        <v/>
      </c>
      <c r="F7" s="2" t="inlineStr">
        <is>
          <t>если не входит в договор Строй Хауза</t>
        </is>
      </c>
    </row>
    <row r="8">
      <c r="A8" s="2" t="inlineStr">
        <is>
          <t>Коробка</t>
        </is>
      </c>
      <c r="B8" s="2" t="inlineStr">
        <is>
          <t>Лестница (каркас и ступени)</t>
        </is>
      </c>
      <c r="C8" s="3" t="n">
        <v>800000</v>
      </c>
      <c r="D8" s="3" t="n">
        <v>2000000</v>
      </c>
      <c r="E8" s="3">
        <f>(C8+D8)/2</f>
        <v/>
      </c>
      <c r="F8" s="2" t="inlineStr"/>
    </row>
    <row r="9">
      <c r="A9" s="2" t="inlineStr">
        <is>
          <t>Инженерия</t>
        </is>
      </c>
      <c r="B9" s="2" t="inlineStr">
        <is>
          <t>Вентиляция и кондиционирование (ПВУ с рекуператором, VRF)</t>
        </is>
      </c>
      <c r="C9" s="3" t="n">
        <v>4840000</v>
      </c>
      <c r="D9" s="3" t="n">
        <v>8057000</v>
      </c>
      <c r="E9" s="3">
        <f>(C9+D9)/2</f>
        <v/>
      </c>
      <c r="F9" s="2" t="inlineStr"/>
    </row>
    <row r="10">
      <c r="A10" s="2" t="inlineStr">
        <is>
          <t>Инженерия</t>
        </is>
      </c>
      <c r="B10" s="2" t="inlineStr">
        <is>
          <t>Отопление: пеллетный котёл, котельная, тёплые полы, конвекторы</t>
        </is>
      </c>
      <c r="C10" s="3" t="n">
        <v>5731000</v>
      </c>
      <c r="D10" s="3" t="n">
        <v>10902000</v>
      </c>
      <c r="E10" s="3">
        <f>(C10+D10)/2</f>
        <v/>
      </c>
      <c r="F10" s="2" t="inlineStr"/>
    </row>
    <row r="11">
      <c r="A11" s="2" t="inlineStr">
        <is>
          <t>Инженерия</t>
        </is>
      </c>
      <c r="B11" s="2" t="inlineStr">
        <is>
          <t>Водопровод и канализация (без сантехприборов)</t>
        </is>
      </c>
      <c r="C11" s="3" t="n">
        <v>1028000</v>
      </c>
      <c r="D11" s="3" t="n">
        <v>2054000</v>
      </c>
      <c r="E11" s="3">
        <f>(C11+D11)/2</f>
        <v/>
      </c>
      <c r="F11" s="2" t="inlineStr"/>
    </row>
    <row r="12">
      <c r="A12" s="2" t="inlineStr">
        <is>
          <t>Инженерия</t>
        </is>
      </c>
      <c r="B12" s="2" t="inlineStr">
        <is>
          <t>Электрика: щиты, кабели, розетки, выключатели</t>
        </is>
      </c>
      <c r="C12" s="3" t="n">
        <v>2121000</v>
      </c>
      <c r="D12" s="3" t="n">
        <v>4491000</v>
      </c>
      <c r="E12" s="3">
        <f>(C12+D12)/2</f>
        <v/>
      </c>
      <c r="F12" s="2" t="inlineStr"/>
    </row>
    <row r="13">
      <c r="A13" s="2" t="inlineStr">
        <is>
          <t>Инженерия</t>
        </is>
      </c>
      <c r="B13" s="2" t="inlineStr">
        <is>
          <t>Свет Maytoni во всём доме</t>
        </is>
      </c>
      <c r="C13" s="3" t="n">
        <v>1550000</v>
      </c>
      <c r="D13" s="3" t="n">
        <v>4080000</v>
      </c>
      <c r="E13" s="3">
        <f>(C13+D13)/2</f>
        <v/>
      </c>
      <c r="F13" s="2" t="inlineStr">
        <is>
          <t>с монтажом и светопроектом</t>
        </is>
      </c>
    </row>
    <row r="14">
      <c r="A14" s="2" t="inlineStr">
        <is>
          <t>Инженерия</t>
        </is>
      </c>
      <c r="B14" s="2" t="inlineStr">
        <is>
          <t>Умный дом, сеть, Wi-Fi, видеонаблюдение, домофон</t>
        </is>
      </c>
      <c r="C14" s="3" t="n">
        <v>858000</v>
      </c>
      <c r="D14" s="3" t="n">
        <v>2144000</v>
      </c>
      <c r="E14" s="3">
        <f>(C14+D14)/2</f>
        <v/>
      </c>
      <c r="F14" s="2" t="inlineStr"/>
    </row>
    <row r="15">
      <c r="A15" s="2" t="inlineStr">
        <is>
          <t>Инженерия</t>
        </is>
      </c>
      <c r="B15" s="2" t="inlineStr">
        <is>
          <t>Молниезащита, заземление, пожарная сигнализация</t>
        </is>
      </c>
      <c r="C15" s="3" t="n">
        <v>515000</v>
      </c>
      <c r="D15" s="3" t="n">
        <v>1043000</v>
      </c>
      <c r="E15" s="3">
        <f>(C15+D15)/2</f>
        <v/>
      </c>
      <c r="F15" s="2" t="inlineStr"/>
    </row>
    <row r="16">
      <c r="A16" s="2" t="inlineStr">
        <is>
          <t>Инженерия</t>
        </is>
      </c>
      <c r="B16" s="2" t="inlineStr">
        <is>
          <t>Наружные сети и подключения (вода, канализация, 50 кВт, дренаж)</t>
        </is>
      </c>
      <c r="C16" s="3" t="n">
        <v>980000</v>
      </c>
      <c r="D16" s="3" t="n">
        <v>2468000</v>
      </c>
      <c r="E16" s="3">
        <f>(C16+D16)/2</f>
        <v/>
      </c>
      <c r="F16" s="2" t="inlineStr">
        <is>
          <t>до ТУ</t>
        </is>
      </c>
    </row>
    <row r="17">
      <c r="A17" s="2" t="inlineStr">
        <is>
          <t>Организация</t>
        </is>
      </c>
      <c r="B17" s="2" t="inlineStr">
        <is>
          <t>Проекты, топосъёмка, технадзор</t>
        </is>
      </c>
      <c r="C17" s="3" t="n">
        <v>690000</v>
      </c>
      <c r="D17" s="3" t="n">
        <v>1590000</v>
      </c>
      <c r="E17" s="3">
        <f>(C17+D17)/2</f>
        <v/>
      </c>
      <c r="F17" s="2" t="inlineStr"/>
    </row>
    <row r="18">
      <c r="A18" s="2" t="inlineStr">
        <is>
          <t>Организация</t>
        </is>
      </c>
      <c r="B18" s="2" t="inlineStr">
        <is>
          <t>Временные сооружения, вывоз мусора, охрана</t>
        </is>
      </c>
      <c r="C18" s="3" t="n">
        <v>400000</v>
      </c>
      <c r="D18" s="3" t="n">
        <v>800000</v>
      </c>
      <c r="E18" s="3">
        <f>(C18+D18)/2</f>
        <v/>
      </c>
      <c r="F18" s="2" t="inlineStr"/>
    </row>
    <row r="19">
      <c r="A19" s="2" t="inlineStr"/>
      <c r="B19" s="2" t="inlineStr">
        <is>
          <t>Непредвиденные 7% (кроме договора Строй Хауз)</t>
        </is>
      </c>
      <c r="C19" s="3">
        <f>ROUND(0.07*SUM(C3:C18),-3)</f>
        <v/>
      </c>
      <c r="D19" s="3">
        <f>ROUND(0.07*SUM(D3:D18),-3)</f>
        <v/>
      </c>
      <c r="E19" s="3">
        <f>(C19+D19)/2</f>
        <v/>
      </c>
      <c r="F19" s="2" t="inlineStr"/>
    </row>
    <row r="20">
      <c r="A20" s="4" t="inlineStr"/>
      <c r="B20" s="4" t="inlineStr">
        <is>
          <t>ИТОГО под чистовую</t>
        </is>
      </c>
      <c r="C20" s="5">
        <f>SUM(C2:C19)</f>
        <v/>
      </c>
      <c r="D20" s="5">
        <f>SUM(D2:D19)</f>
        <v/>
      </c>
      <c r="E20" s="5">
        <f>(C20+D20)/2</f>
        <v/>
      </c>
      <c r="F20" s="4" t="inlineStr"/>
    </row>
    <row r="21">
      <c r="A21" s="2" t="n"/>
      <c r="B21" s="2" t="n"/>
      <c r="C21" s="2" t="n"/>
      <c r="D21" s="2" t="n"/>
      <c r="E21" s="2" t="n"/>
      <c r="F21" s="2" t="n"/>
    </row>
    <row r="22">
      <c r="A22" s="2" t="inlineStr"/>
      <c r="B22" s="2" t="inlineStr">
        <is>
          <t>После — не входит в итог</t>
        </is>
      </c>
      <c r="C22" s="2" t="n"/>
      <c r="D22" s="2" t="n"/>
      <c r="E22" s="2" t="n"/>
      <c r="F22" s="2" t="inlineStr"/>
    </row>
    <row r="23">
      <c r="A23" s="2" t="inlineStr">
        <is>
          <t>Позже</t>
        </is>
      </c>
      <c r="B23" s="2" t="inlineStr">
        <is>
          <t>Чистовая отделка: полы, плитка, покраска, потолки, межкомнатные двери</t>
        </is>
      </c>
      <c r="C23" s="3" t="n">
        <v>8800000</v>
      </c>
      <c r="D23" s="3" t="n">
        <v>19500000</v>
      </c>
      <c r="E23" s="3">
        <f>(C23+D23)/2</f>
        <v/>
      </c>
      <c r="F23" s="2" t="inlineStr"/>
    </row>
    <row r="24">
      <c r="A24" s="2" t="inlineStr">
        <is>
          <t>Позже</t>
        </is>
      </c>
      <c r="B24" s="2" t="inlineStr">
        <is>
          <t>Сантехприборы по дизайн-проекту</t>
        </is>
      </c>
      <c r="C24" s="3" t="n">
        <v>1200000</v>
      </c>
      <c r="D24" s="3" t="n">
        <v>3500000</v>
      </c>
      <c r="E24" s="3">
        <f>(C24+D24)/2</f>
        <v/>
      </c>
      <c r="F24" s="2" t="inlineStr"/>
    </row>
    <row r="25">
      <c r="A25" s="2" t="inlineStr">
        <is>
          <t>Позже</t>
        </is>
      </c>
      <c r="B25" s="2" t="inlineStr">
        <is>
          <t>Газ, этап 2: котёл, газопровод по участку, проект</t>
        </is>
      </c>
      <c r="C25" s="3" t="n">
        <v>540000</v>
      </c>
      <c r="D25" s="3" t="n">
        <v>1400000</v>
      </c>
      <c r="E25" s="3">
        <f>(C25+D25)/2</f>
        <v/>
      </c>
      <c r="F25" s="2" t="inlineStr"/>
    </row>
    <row r="26">
      <c r="A26" s="2" t="inlineStr">
        <is>
          <t>Позже</t>
        </is>
      </c>
      <c r="B26" s="2" t="inlineStr">
        <is>
          <t>Благоустройство: отмостка, дорожки, озеленение</t>
        </is>
      </c>
      <c r="C26" s="3" t="n">
        <v>1300000</v>
      </c>
      <c r="D26" s="3" t="n">
        <v>4500000</v>
      </c>
      <c r="E26" s="3">
        <f>(C26+D26)/2</f>
        <v/>
      </c>
      <c r="F26" s="2" t="inlineStr"/>
    </row>
    <row r="27">
      <c r="A27" s="2" t="inlineStr">
        <is>
          <t>Позже</t>
        </is>
      </c>
      <c r="B27" s="2" t="inlineStr">
        <is>
          <t>КНС — только если нет самотёка (по ТУ)</t>
        </is>
      </c>
      <c r="C27" s="3" t="n">
        <v>350000</v>
      </c>
      <c r="D27" s="3" t="n">
        <v>800000</v>
      </c>
      <c r="E27" s="3">
        <f>(C27+D27)/2</f>
        <v/>
      </c>
      <c r="F27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60" customWidth="1" min="1" max="1"/>
    <col width="9" customWidth="1" min="2" max="2"/>
    <col width="8" customWidth="1" min="3" max="3"/>
    <col width="14" customWidth="1" min="4" max="4"/>
    <col width="14" customWidth="1" min="5" max="5"/>
    <col width="15" customWidth="1" min="6" max="6"/>
    <col width="15" customWidth="1" min="7" max="7"/>
  </cols>
  <sheetData>
    <row r="1">
      <c r="A1" s="1" t="inlineStr">
        <is>
          <t>Статья</t>
        </is>
      </c>
      <c r="B1" s="1" t="inlineStr">
        <is>
          <t>Кол-во</t>
        </is>
      </c>
      <c r="C1" s="1" t="inlineStr">
        <is>
          <t>Ед.</t>
        </is>
      </c>
      <c r="D1" s="1" t="inlineStr">
        <is>
          <t>Цена мин., ₽</t>
        </is>
      </c>
      <c r="E1" s="1" t="inlineStr">
        <is>
          <t>Цена макс., ₽</t>
        </is>
      </c>
      <c r="F1" s="1" t="inlineStr">
        <is>
          <t>Сумма мин., ₽</t>
        </is>
      </c>
      <c r="G1" s="1" t="inlineStr">
        <is>
          <t>Сумма макс., ₽</t>
        </is>
      </c>
    </row>
    <row r="2">
      <c r="A2" s="2" t="inlineStr">
        <is>
          <t>Встраиваемые и накладные споты Maytoni Technical</t>
        </is>
      </c>
      <c r="B2" s="3" t="n">
        <v>75</v>
      </c>
      <c r="C2" s="2" t="inlineStr">
        <is>
          <t>шт.</t>
        </is>
      </c>
      <c r="D2" s="3" t="n">
        <v>3500</v>
      </c>
      <c r="E2" s="3" t="n">
        <v>9000</v>
      </c>
      <c r="F2" s="3">
        <f>B2*D2</f>
        <v/>
      </c>
      <c r="G2" s="3">
        <f>B2*E2</f>
        <v/>
      </c>
    </row>
    <row r="3">
      <c r="A3" s="2" t="inlineStr">
        <is>
          <t>Магнитный трек Maytoni (шинопровод с аксессуарами)</t>
        </is>
      </c>
      <c r="B3" s="3" t="n">
        <v>40</v>
      </c>
      <c r="C3" s="2" t="inlineStr">
        <is>
          <t>м</t>
        </is>
      </c>
      <c r="D3" s="3" t="n">
        <v>3000</v>
      </c>
      <c r="E3" s="3" t="n">
        <v>6000</v>
      </c>
      <c r="F3" s="3">
        <f>B3*D3</f>
        <v/>
      </c>
      <c r="G3" s="3">
        <f>B3*E3</f>
        <v/>
      </c>
    </row>
    <row r="4">
      <c r="A4" s="2" t="inlineStr">
        <is>
          <t>Трековые светильники Maytoni</t>
        </is>
      </c>
      <c r="B4" s="3" t="n">
        <v>25</v>
      </c>
      <c r="C4" s="2" t="inlineStr">
        <is>
          <t>шт.</t>
        </is>
      </c>
      <c r="D4" s="3" t="n">
        <v>7000</v>
      </c>
      <c r="E4" s="3" t="n">
        <v>16000</v>
      </c>
      <c r="F4" s="3">
        <f>B4*D4</f>
        <v/>
      </c>
      <c r="G4" s="3">
        <f>B4*E4</f>
        <v/>
      </c>
    </row>
    <row r="5">
      <c r="A5" s="2" t="inlineStr">
        <is>
          <t>Подвесные и настенные декоративные светильники Maytoni</t>
        </is>
      </c>
      <c r="B5" s="3" t="n">
        <v>12</v>
      </c>
      <c r="C5" s="2" t="inlineStr">
        <is>
          <t>шт.</t>
        </is>
      </c>
      <c r="D5" s="3" t="n">
        <v>15000</v>
      </c>
      <c r="E5" s="3" t="n">
        <v>60000</v>
      </c>
      <c r="F5" s="3">
        <f>B5*D5</f>
        <v/>
      </c>
      <c r="G5" s="3">
        <f>B5*E5</f>
        <v/>
      </c>
    </row>
    <row r="6">
      <c r="A6" s="2" t="inlineStr">
        <is>
          <t>Люстры второго света: холл и гостиная</t>
        </is>
      </c>
      <c r="B6" s="3" t="n">
        <v>3</v>
      </c>
      <c r="C6" s="2" t="inlineStr">
        <is>
          <t>шт.</t>
        </is>
      </c>
      <c r="D6" s="3" t="n">
        <v>80000</v>
      </c>
      <c r="E6" s="3" t="n">
        <v>250000</v>
      </c>
      <c r="F6" s="3">
        <f>B6*D6</f>
        <v/>
      </c>
      <c r="G6" s="3">
        <f>B6*E6</f>
        <v/>
      </c>
    </row>
    <row r="7">
      <c r="A7" s="2" t="inlineStr">
        <is>
          <t>Светодиодный профиль: ниши, лестница, карнизы</t>
        </is>
      </c>
      <c r="B7" s="3" t="n">
        <v>60</v>
      </c>
      <c r="C7" s="2" t="inlineStr">
        <is>
          <t>м</t>
        </is>
      </c>
      <c r="D7" s="3" t="n">
        <v>3000</v>
      </c>
      <c r="E7" s="3" t="n">
        <v>6000</v>
      </c>
      <c r="F7" s="3">
        <f>B7*D7</f>
        <v/>
      </c>
      <c r="G7" s="3">
        <f>B7*E7</f>
        <v/>
      </c>
    </row>
    <row r="8">
      <c r="A8" s="2" t="inlineStr">
        <is>
          <t>Фасад и терраса, Maytoni Outdoor IP65</t>
        </is>
      </c>
      <c r="B8" s="3" t="n">
        <v>8</v>
      </c>
      <c r="C8" s="2" t="inlineStr">
        <is>
          <t>шт.</t>
        </is>
      </c>
      <c r="D8" s="3" t="n">
        <v>6000</v>
      </c>
      <c r="E8" s="3" t="n">
        <v>15000</v>
      </c>
      <c r="F8" s="3">
        <f>B8*D8</f>
        <v/>
      </c>
      <c r="G8" s="3">
        <f>B8*E8</f>
        <v/>
      </c>
    </row>
    <row r="9">
      <c r="A9" s="2" t="inlineStr">
        <is>
          <t>Сауна и С/У: влагозащищённые IP44/IP54</t>
        </is>
      </c>
      <c r="B9" s="3" t="n">
        <v>8</v>
      </c>
      <c r="C9" s="2" t="inlineStr">
        <is>
          <t>шт.</t>
        </is>
      </c>
      <c r="D9" s="3" t="n">
        <v>4000</v>
      </c>
      <c r="E9" s="3" t="n">
        <v>10000</v>
      </c>
      <c r="F9" s="3">
        <f>B9*D9</f>
        <v/>
      </c>
      <c r="G9" s="3">
        <f>B9*E9</f>
        <v/>
      </c>
    </row>
    <row r="10">
      <c r="A10" s="2" t="inlineStr">
        <is>
          <t>Блоки питания, диммеры DALI / 0–10 В</t>
        </is>
      </c>
      <c r="B10" s="3" t="n">
        <v>1</v>
      </c>
      <c r="C10" s="2" t="inlineStr">
        <is>
          <t>компл.</t>
        </is>
      </c>
      <c r="D10" s="3" t="n">
        <v>80000</v>
      </c>
      <c r="E10" s="3" t="n">
        <v>250000</v>
      </c>
      <c r="F10" s="3">
        <f>B10*D10</f>
        <v/>
      </c>
      <c r="G10" s="3">
        <f>B10*E10</f>
        <v/>
      </c>
    </row>
    <row r="11">
      <c r="A11" s="2" t="inlineStr">
        <is>
          <t>Монтаж светильников, треков и профиля</t>
        </is>
      </c>
      <c r="B11" s="3" t="n">
        <v>190</v>
      </c>
      <c r="C11" s="2" t="inlineStr">
        <is>
          <t>точ.</t>
        </is>
      </c>
      <c r="D11" s="3" t="n">
        <v>800</v>
      </c>
      <c r="E11" s="3" t="n">
        <v>1500</v>
      </c>
      <c r="F11" s="3">
        <f>B11*D11</f>
        <v/>
      </c>
      <c r="G11" s="3">
        <f>B11*E11</f>
        <v/>
      </c>
    </row>
    <row r="12">
      <c r="A12" s="2" t="inlineStr">
        <is>
          <t>Светотехнический проект (расчёт освещённости, раскладка)</t>
        </is>
      </c>
      <c r="B12" s="3" t="n">
        <v>1</v>
      </c>
      <c r="C12" s="2" t="inlineStr">
        <is>
          <t>компл.</t>
        </is>
      </c>
      <c r="D12" s="3" t="n">
        <v>80000</v>
      </c>
      <c r="E12" s="3" t="n">
        <v>200000</v>
      </c>
      <c r="F12" s="3">
        <f>B12*D12</f>
        <v/>
      </c>
      <c r="G12" s="3">
        <f>B12*E12</f>
        <v/>
      </c>
    </row>
    <row r="13">
      <c r="A13" s="2" t="inlineStr">
        <is>
          <t>ИТОГО свет Maytoni</t>
        </is>
      </c>
      <c r="B13" s="2" t="n"/>
      <c r="C13" s="2" t="n"/>
      <c r="D13" s="2" t="n"/>
      <c r="E13" s="2" t="n"/>
      <c r="F13" s="3">
        <f>SUM(F2:F12)</f>
        <v/>
      </c>
      <c r="G13" s="3">
        <f>SUM(G2:G12)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2026-10-21T05:20:10Z</dcterms:created>
  <dcterms:modified xmlns:dcterms="http://purl.org/dc/terms/" xmlns:xsi="http://www.w3.org/2001/XMLSchema-instance" xsi:type="dcterms:W3CDTF">2026-10-21T05:20:10Z</dcterms:modified>
</cp:coreProperties>
</file>