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ОВК" sheetId="2" state="visible" r:id="rId2"/>
    <sheet xmlns:r="http://schemas.openxmlformats.org/officeDocument/2006/relationships" name="ОВ" sheetId="3" state="visible" r:id="rId3"/>
    <sheet xmlns:r="http://schemas.openxmlformats.org/officeDocument/2006/relationships" name="ВК" sheetId="4" state="visible" r:id="rId4"/>
    <sheet xmlns:r="http://schemas.openxmlformats.org/officeDocument/2006/relationships" name="ЭОМ" sheetId="5" state="visible" r:id="rId5"/>
    <sheet xmlns:r="http://schemas.openxmlformats.org/officeDocument/2006/relationships" name="СС" sheetId="6" state="visible" r:id="rId6"/>
    <sheet xmlns:r="http://schemas.openxmlformats.org/officeDocument/2006/relationships" name="МЗ-ПС" sheetId="7" state="visible" r:id="rId7"/>
    <sheet xmlns:r="http://schemas.openxmlformats.org/officeDocument/2006/relationships" name="Н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Раздел</t>
        </is>
      </c>
      <c r="B1" s="2" t="inlineStr">
        <is>
          <t>Этап 1 мин., тыс. ₽</t>
        </is>
      </c>
      <c r="C1" s="2" t="inlineStr">
        <is>
          <t>Этап 1 макс., тыс. ₽</t>
        </is>
      </c>
      <c r="D1" s="2" t="inlineStr">
        <is>
          <t>Среднее, тыс. ₽</t>
        </is>
      </c>
      <c r="E1" s="2" t="inlineStr">
        <is>
          <t>Газ этап 2 мин.</t>
        </is>
      </c>
      <c r="F1" s="2" t="inlineStr">
        <is>
          <t>Газ этап 2 макс.</t>
        </is>
      </c>
    </row>
    <row r="2">
      <c r="A2" s="3" t="inlineStr">
        <is>
          <t>291-ОВК Вентиляция и кондиционирование</t>
        </is>
      </c>
      <c r="B2" s="4">
        <f>'ОВК'!F59/1000</f>
        <v/>
      </c>
      <c r="C2" s="4">
        <f>'ОВК'!G59/1000</f>
        <v/>
      </c>
      <c r="D2" s="4">
        <f>(B2+C2)/2</f>
        <v/>
      </c>
      <c r="E2" s="4" t="n">
        <v>0</v>
      </c>
      <c r="F2" s="4" t="n">
        <v>0</v>
      </c>
    </row>
    <row r="3">
      <c r="A3" s="3" t="inlineStr">
        <is>
          <t>291-ОВ Отопление, тёплые полы, котельная</t>
        </is>
      </c>
      <c r="B3" s="4">
        <f>'ОВ'!F47/1000</f>
        <v/>
      </c>
      <c r="C3" s="4">
        <f>'ОВ'!G47/1000</f>
        <v/>
      </c>
      <c r="D3" s="4">
        <f>(B3+C3)/2</f>
        <v/>
      </c>
      <c r="E3" s="4" t="n">
        <v>325</v>
      </c>
      <c r="F3" s="4" t="n">
        <v>798</v>
      </c>
    </row>
    <row r="4">
      <c r="A4" s="3" t="inlineStr">
        <is>
          <t>291-ВК Водоснабжение и канализация (внутренние)</t>
        </is>
      </c>
      <c r="B4" s="4">
        <f>'ВК'!F35/1000</f>
        <v/>
      </c>
      <c r="C4" s="4">
        <f>'ВК'!G35/1000</f>
        <v/>
      </c>
      <c r="D4" s="4">
        <f>(B4+C4)/2</f>
        <v/>
      </c>
      <c r="E4" s="4" t="n">
        <v>0</v>
      </c>
      <c r="F4" s="4" t="n">
        <v>0</v>
      </c>
    </row>
    <row r="5">
      <c r="A5" s="3" t="inlineStr">
        <is>
          <t>291-ЭОМ Электрооборудование и освещение</t>
        </is>
      </c>
      <c r="B5" s="4">
        <f>'ЭОМ'!F26/1000</f>
        <v/>
      </c>
      <c r="C5" s="4">
        <f>'ЭОМ'!G26/1000</f>
        <v/>
      </c>
      <c r="D5" s="4">
        <f>(B5+C5)/2</f>
        <v/>
      </c>
      <c r="E5" s="4" t="n">
        <v>0</v>
      </c>
      <c r="F5" s="4" t="n">
        <v>0</v>
      </c>
    </row>
    <row r="6">
      <c r="A6" s="3" t="inlineStr">
        <is>
          <t>291-СС Слаботочные системы</t>
        </is>
      </c>
      <c r="B6" s="4">
        <f>'СС'!F24/1000</f>
        <v/>
      </c>
      <c r="C6" s="4">
        <f>'СС'!G24/1000</f>
        <v/>
      </c>
      <c r="D6" s="4">
        <f>(B6+C6)/2</f>
        <v/>
      </c>
      <c r="E6" s="4" t="n">
        <v>0</v>
      </c>
      <c r="F6" s="4" t="n">
        <v>0</v>
      </c>
    </row>
    <row r="7">
      <c r="A7" s="3" t="inlineStr">
        <is>
          <t>291-МЗ.ПС Молниезащита, заземление, пожарная сигнализация</t>
        </is>
      </c>
      <c r="B7" s="4">
        <f>'МЗ-ПС'!F25/1000</f>
        <v/>
      </c>
      <c r="C7" s="4">
        <f>'МЗ-ПС'!G25/1000</f>
        <v/>
      </c>
      <c r="D7" s="4">
        <f>(B7+C7)/2</f>
        <v/>
      </c>
      <c r="E7" s="4" t="n">
        <v>20</v>
      </c>
      <c r="F7" s="4" t="n">
        <v>51</v>
      </c>
    </row>
    <row r="8">
      <c r="A8" s="3" t="inlineStr">
        <is>
          <t>291-НС Наружные сети (предварительно)</t>
        </is>
      </c>
      <c r="B8" s="4">
        <f>'НС'!F12/1000</f>
        <v/>
      </c>
      <c r="C8" s="4">
        <f>'НС'!G12/1000</f>
        <v/>
      </c>
      <c r="D8" s="4">
        <f>(B8+C8)/2</f>
        <v/>
      </c>
      <c r="E8" s="4">
        <f>SUMIF('НС'!H2:H11,"этап 2",'НС'!F2:F11)/1000</f>
        <v/>
      </c>
      <c r="F8" s="4">
        <f>SUMIF('НС'!H2:H11,"этап 2",'НС'!G2:G11)/1000</f>
        <v/>
      </c>
    </row>
    <row r="9">
      <c r="A9" s="5" t="inlineStr">
        <is>
          <t>ИТОГО по разделам РД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</cols>
  <sheetData>
    <row r="1">
      <c r="A1" s="1" t="inlineStr">
        <is>
          <t>Позиция</t>
        </is>
      </c>
      <c r="B1" s="1" t="inlineStr">
        <is>
          <t>Ед.</t>
        </is>
      </c>
      <c r="C1" s="2" t="inlineStr">
        <is>
          <t>Кол-во</t>
        </is>
      </c>
      <c r="D1" s="2" t="inlineStr">
        <is>
          <t>Цена мин., ₽</t>
        </is>
      </c>
      <c r="E1" s="2" t="inlineStr">
        <is>
          <t>Цена макс., ₽</t>
        </is>
      </c>
      <c r="F1" s="2" t="inlineStr">
        <is>
          <t>Сумма мин., ₽</t>
        </is>
      </c>
      <c r="G1" s="2" t="inlineStr">
        <is>
          <t>Сумма макс., ₽</t>
        </is>
      </c>
      <c r="H1" s="1" t="inlineStr">
        <is>
          <t>Примечание</t>
        </is>
      </c>
    </row>
    <row r="2">
      <c r="A2" s="3" t="inlineStr">
        <is>
          <t>Приточно-вытяжная установка с роторным рекуператором (η≥75%), L=1050 м³/ч, Pсв=250 Па, EC-вентиляторы, электронагреватель 3.5 кВт / 380 В, фильтры приток ePM1 55% (F7), вытяжка ePM10 50% (M5), автоматика с пультом и датчиком CO₂</t>
        </is>
      </c>
      <c r="B2" s="3" t="inlineStr">
        <is>
          <t>компл.</t>
        </is>
      </c>
      <c r="C2" s="4" t="n">
        <v>1</v>
      </c>
      <c r="D2" s="4" t="n">
        <v>450000</v>
      </c>
      <c r="E2" s="4" t="n">
        <v>800000</v>
      </c>
      <c r="F2" s="4">
        <f>C2*D2</f>
        <v/>
      </c>
      <c r="G2" s="4">
        <f>C2*E2</f>
        <v/>
      </c>
      <c r="H2" s="3" t="inlineStr"/>
    </row>
    <row r="3">
      <c r="A3" s="3" t="inlineStr">
        <is>
          <t>Шумоглушитель круглый Ø315, L=1000 мм</t>
        </is>
      </c>
      <c r="B3" s="3" t="inlineStr">
        <is>
          <t>шт.</t>
        </is>
      </c>
      <c r="C3" s="4" t="n">
        <v>4</v>
      </c>
      <c r="D3" s="4" t="n">
        <v>6000</v>
      </c>
      <c r="E3" s="4" t="n">
        <v>10000</v>
      </c>
      <c r="F3" s="4">
        <f>C3*D3</f>
        <v/>
      </c>
      <c r="G3" s="4">
        <f>C3*E3</f>
        <v/>
      </c>
      <c r="H3" s="3" t="inlineStr"/>
    </row>
    <row r="4">
      <c r="A4" s="3" t="inlineStr">
        <is>
          <t>Клапан воздушный утеплённый Ø315 с электроприводом и возвратной пружиной (24 В)</t>
        </is>
      </c>
      <c r="B4" s="3" t="inlineStr">
        <is>
          <t>шт.</t>
        </is>
      </c>
      <c r="C4" s="4" t="n">
        <v>2</v>
      </c>
      <c r="D4" s="4" t="n">
        <v>25000</v>
      </c>
      <c r="E4" s="4" t="n">
        <v>40000</v>
      </c>
      <c r="F4" s="4">
        <f>C4*D4</f>
        <v/>
      </c>
      <c r="G4" s="4">
        <f>C4*E4</f>
        <v/>
      </c>
      <c r="H4" s="3" t="inlineStr"/>
    </row>
    <row r="5">
      <c r="A5" s="3" t="inlineStr">
        <is>
          <t>Гибкая вставка Ø315</t>
        </is>
      </c>
      <c r="B5" s="3" t="inlineStr">
        <is>
          <t>шт.</t>
        </is>
      </c>
      <c r="C5" s="4" t="n">
        <v>4</v>
      </c>
      <c r="D5" s="4" t="n">
        <v>2000</v>
      </c>
      <c r="E5" s="4" t="n">
        <v>4000</v>
      </c>
      <c r="F5" s="4">
        <f>C5*D5</f>
        <v/>
      </c>
      <c r="G5" s="4">
        <f>C5*E5</f>
        <v/>
      </c>
      <c r="H5" s="3" t="inlineStr"/>
    </row>
    <row r="6">
      <c r="A6" s="3" t="inlineStr">
        <is>
          <t>Узел воздухозаборный через фальцевую кровлю Ø315 с зонтом и сеткой</t>
        </is>
      </c>
      <c r="B6" s="3" t="inlineStr">
        <is>
          <t>компл.</t>
        </is>
      </c>
      <c r="C6" s="4" t="n">
        <v>1</v>
      </c>
      <c r="D6" s="4" t="n">
        <v>25000</v>
      </c>
      <c r="E6" s="4" t="n">
        <v>45000</v>
      </c>
      <c r="F6" s="4">
        <f>C6*D6</f>
        <v/>
      </c>
      <c r="G6" s="4">
        <f>C6*E6</f>
        <v/>
      </c>
      <c r="H6" s="3" t="inlineStr"/>
    </row>
    <row r="7">
      <c r="A7" s="3" t="inlineStr">
        <is>
          <t>Узел прохода вытяжной шахты через фальцевую кровлю Ø315 с зонтом</t>
        </is>
      </c>
      <c r="B7" s="3" t="inlineStr">
        <is>
          <t>компл.</t>
        </is>
      </c>
      <c r="C7" s="4" t="n">
        <v>1</v>
      </c>
      <c r="D7" s="4" t="n">
        <v>25000</v>
      </c>
      <c r="E7" s="4" t="n">
        <v>45000</v>
      </c>
      <c r="F7" s="4">
        <f>C7*D7</f>
        <v/>
      </c>
      <c r="G7" s="4">
        <f>C7*E7</f>
        <v/>
      </c>
      <c r="H7" s="3" t="inlineStr"/>
    </row>
    <row r="8">
      <c r="A8" s="3" t="inlineStr">
        <is>
          <t>Диффузор потолочный круглый (ДПУ-М) Ø100…Ø200</t>
        </is>
      </c>
      <c r="B8" s="3" t="inlineStr">
        <is>
          <t>шт.</t>
        </is>
      </c>
      <c r="C8" s="4" t="n">
        <v>14</v>
      </c>
      <c r="D8" s="4" t="n">
        <v>1500</v>
      </c>
      <c r="E8" s="4" t="n">
        <v>3500</v>
      </c>
      <c r="F8" s="4">
        <f>C8*D8</f>
        <v/>
      </c>
      <c r="G8" s="4">
        <f>C8*E8</f>
        <v/>
      </c>
      <c r="H8" s="3" t="inlineStr"/>
    </row>
    <row r="9">
      <c r="A9" s="3" t="inlineStr">
        <is>
          <t>Диффузор потолочный/стеновой с пленумом под 2…4 воздуховода Ø90</t>
        </is>
      </c>
      <c r="B9" s="3" t="inlineStr">
        <is>
          <t>шт.</t>
        </is>
      </c>
      <c r="C9" s="4" t="n">
        <v>17</v>
      </c>
      <c r="D9" s="4" t="n">
        <v>5000</v>
      </c>
      <c r="E9" s="4" t="n">
        <v>10000</v>
      </c>
      <c r="F9" s="4">
        <f>C9*D9</f>
        <v/>
      </c>
      <c r="G9" s="4">
        <f>C9*E9</f>
        <v/>
      </c>
      <c r="H9" s="3" t="inlineStr"/>
    </row>
    <row r="10">
      <c r="A10" s="3" t="inlineStr">
        <is>
          <t>Распределительный коллектор (камера статического давления) Ø200/Ø160, 6…14 выходов Ø90, со звукопоглощением и ревизией</t>
        </is>
      </c>
      <c r="B10" s="3" t="inlineStr">
        <is>
          <t>шт.</t>
        </is>
      </c>
      <c r="C10" s="4" t="n">
        <v>4</v>
      </c>
      <c r="D10" s="4" t="n">
        <v>25000</v>
      </c>
      <c r="E10" s="4" t="n">
        <v>45000</v>
      </c>
      <c r="F10" s="4">
        <f>C10*D10</f>
        <v/>
      </c>
      <c r="G10" s="4">
        <f>C10*E10</f>
        <v/>
      </c>
      <c r="H10" s="3" t="inlineStr"/>
    </row>
    <row r="11">
      <c r="A11" s="3" t="inlineStr">
        <is>
          <t>Воздуховод полимерный гибкий двухслойный Ø90 с антистатическим и антибактериальным покрытием</t>
        </is>
      </c>
      <c r="B11" s="3" t="inlineStr">
        <is>
          <t>м</t>
        </is>
      </c>
      <c r="C11" s="4" t="n">
        <v>420</v>
      </c>
      <c r="D11" s="4" t="n">
        <v>400</v>
      </c>
      <c r="E11" s="4" t="n">
        <v>700</v>
      </c>
      <c r="F11" s="4">
        <f>C11*D11</f>
        <v/>
      </c>
      <c r="G11" s="4">
        <f>C11*E11</f>
        <v/>
      </c>
      <c r="H11" s="3" t="inlineStr"/>
    </row>
    <row r="12">
      <c r="A12" s="3" t="inlineStr">
        <is>
          <t>Дроссель-клапан Ø125…Ø315 с ручным приводом</t>
        </is>
      </c>
      <c r="B12" s="3" t="inlineStr">
        <is>
          <t>шт.</t>
        </is>
      </c>
      <c r="C12" s="4" t="n">
        <v>16</v>
      </c>
      <c r="D12" s="4" t="n">
        <v>1500</v>
      </c>
      <c r="E12" s="4" t="n">
        <v>3000</v>
      </c>
      <c r="F12" s="4">
        <f>C12*D12</f>
        <v/>
      </c>
      <c r="G12" s="4">
        <f>C12*E12</f>
        <v/>
      </c>
      <c r="H12" s="3" t="inlineStr"/>
    </row>
    <row r="13">
      <c r="A13" s="3" t="inlineStr">
        <is>
          <t>Воздуховоды из оцинкованной стали круглые спирально-навивные, δ=0,5 мм, Ø125…Ø315 (ГОСТ 14918-2020)</t>
        </is>
      </c>
      <c r="B13" s="3" t="inlineStr">
        <is>
          <t>м²</t>
        </is>
      </c>
      <c r="C13" s="4" t="n">
        <v>90</v>
      </c>
      <c r="D13" s="4" t="n">
        <v>1200</v>
      </c>
      <c r="E13" s="4" t="n">
        <v>2000</v>
      </c>
      <c r="F13" s="4">
        <f>C13*D13</f>
        <v/>
      </c>
      <c r="G13" s="4">
        <f>C13*E13</f>
        <v/>
      </c>
      <c r="H13" s="3" t="inlineStr"/>
    </row>
    <row r="14">
      <c r="A14" s="3" t="inlineStr">
        <is>
          <t>Фасонные изделия к воздуховодам п.11</t>
        </is>
      </c>
      <c r="B14" s="3" t="inlineStr">
        <is>
          <t>м²</t>
        </is>
      </c>
      <c r="C14" s="4" t="n">
        <v>25</v>
      </c>
      <c r="D14" s="4" t="n">
        <v>1800</v>
      </c>
      <c r="E14" s="4" t="n">
        <v>3000</v>
      </c>
      <c r="F14" s="4">
        <f>C14*D14</f>
        <v/>
      </c>
      <c r="G14" s="4">
        <f>C14*E14</f>
        <v/>
      </c>
      <c r="H14" s="3" t="inlineStr"/>
    </row>
    <row r="15">
      <c r="A15" s="3" t="inlineStr">
        <is>
          <t>Изоляция теплоизоляционная из вспененного каучука δ=19 мм, самоклеящаяся</t>
        </is>
      </c>
      <c r="B15" s="3" t="inlineStr">
        <is>
          <t>м²</t>
        </is>
      </c>
      <c r="C15" s="4" t="n">
        <v>60</v>
      </c>
      <c r="D15" s="4" t="n">
        <v>1500</v>
      </c>
      <c r="E15" s="4" t="n">
        <v>2500</v>
      </c>
      <c r="F15" s="4">
        <f>C15*D15</f>
        <v/>
      </c>
      <c r="G15" s="4">
        <f>C15*E15</f>
        <v/>
      </c>
      <c r="H15" s="3" t="inlineStr"/>
    </row>
    <row r="16">
      <c r="A16" s="3" t="inlineStr">
        <is>
          <t>Изоляция из вспененного каучука δ=32 мм, с покрытием (паронепроницаемая)</t>
        </is>
      </c>
      <c r="B16" s="3" t="inlineStr">
        <is>
          <t>м²</t>
        </is>
      </c>
      <c r="C16" s="4" t="n">
        <v>30</v>
      </c>
      <c r="D16" s="4" t="n">
        <v>3000</v>
      </c>
      <c r="E16" s="4" t="n">
        <v>4500</v>
      </c>
      <c r="F16" s="4">
        <f>C16*D16</f>
        <v/>
      </c>
      <c r="G16" s="4">
        <f>C16*E16</f>
        <v/>
      </c>
      <c r="H16" s="3" t="inlineStr"/>
    </row>
    <row r="17">
      <c r="A17" s="3" t="inlineStr">
        <is>
          <t>Шланг дренажный ПВХ Ø20 с сифоном (гидрозатвор)</t>
        </is>
      </c>
      <c r="B17" s="3" t="inlineStr">
        <is>
          <t>компл.</t>
        </is>
      </c>
      <c r="C17" s="4" t="n">
        <v>1</v>
      </c>
      <c r="D17" s="4" t="n">
        <v>1500</v>
      </c>
      <c r="E17" s="4" t="n">
        <v>3000</v>
      </c>
      <c r="F17" s="4">
        <f>C17*D17</f>
        <v/>
      </c>
      <c r="G17" s="4">
        <f>C17*E17</f>
        <v/>
      </c>
      <c r="H17" s="3" t="inlineStr"/>
    </row>
    <row r="18">
      <c r="A18" s="3" t="inlineStr">
        <is>
          <t>Приточная установка компактная, L=400 м³/ч, Pсв=200 Па, электронагреватель 6 кВт / 380 В, фильтр G4, клапан с эл. приводом, автоматика с блокировкой от зонта</t>
        </is>
      </c>
      <c r="B18" s="3" t="inlineStr">
        <is>
          <t>компл.</t>
        </is>
      </c>
      <c r="C18" s="4" t="n">
        <v>1</v>
      </c>
      <c r="D18" s="4" t="n">
        <v>120000</v>
      </c>
      <c r="E18" s="4" t="n">
        <v>220000</v>
      </c>
      <c r="F18" s="4">
        <f>C18*D18</f>
        <v/>
      </c>
      <c r="G18" s="4">
        <f>C18*E18</f>
        <v/>
      </c>
      <c r="H18" s="3" t="inlineStr"/>
    </row>
    <row r="19">
      <c r="A19" s="3" t="inlineStr">
        <is>
          <t>Вытяжной зонт кухонный с вентилятором, L=450 м³/ч</t>
        </is>
      </c>
      <c r="B19" s="3" t="inlineStr">
        <is>
          <t>шт.</t>
        </is>
      </c>
      <c r="C19" s="4" t="n">
        <v>1</v>
      </c>
      <c r="D19" s="4" t="n">
        <v>0</v>
      </c>
      <c r="E19" s="4" t="n">
        <v>0</v>
      </c>
      <c r="F19" s="4">
        <f>C19*D19</f>
        <v/>
      </c>
      <c r="G19" s="4">
        <f>C19*E19</f>
        <v/>
      </c>
      <c r="H19" s="3" t="inlineStr">
        <is>
          <t>поставка заказчика</t>
        </is>
      </c>
    </row>
    <row r="20">
      <c r="A20" s="3" t="inlineStr">
        <is>
          <t>Клапан обратный Ø200</t>
        </is>
      </c>
      <c r="B20" s="3" t="inlineStr">
        <is>
          <t>шт.</t>
        </is>
      </c>
      <c r="C20" s="4" t="n">
        <v>1</v>
      </c>
      <c r="D20" s="4" t="n">
        <v>1500</v>
      </c>
      <c r="E20" s="4" t="n">
        <v>3000</v>
      </c>
      <c r="F20" s="4">
        <f>C20*D20</f>
        <v/>
      </c>
      <c r="G20" s="4">
        <f>C20*E20</f>
        <v/>
      </c>
      <c r="H20" s="3" t="inlineStr"/>
    </row>
    <row r="21">
      <c r="A21" s="3" t="inlineStr">
        <is>
          <t>Воздуховоды из оцинкованной стали Ø200, δ=0,5 мм</t>
        </is>
      </c>
      <c r="B21" s="3" t="inlineStr">
        <is>
          <t>м²</t>
        </is>
      </c>
      <c r="C21" s="4" t="n">
        <v>12</v>
      </c>
      <c r="D21" s="4" t="n">
        <v>1200</v>
      </c>
      <c r="E21" s="4" t="n">
        <v>2000</v>
      </c>
      <c r="F21" s="4">
        <f>C21*D21</f>
        <v/>
      </c>
      <c r="G21" s="4">
        <f>C21*E21</f>
        <v/>
      </c>
      <c r="H21" s="3" t="inlineStr"/>
    </row>
    <row r="22">
      <c r="A22" s="3" t="inlineStr">
        <is>
          <t>Изоляция вспененный каучук δ=32 мм с покрытием</t>
        </is>
      </c>
      <c r="B22" s="3" t="inlineStr">
        <is>
          <t>м²</t>
        </is>
      </c>
      <c r="C22" s="4" t="n">
        <v>12</v>
      </c>
      <c r="D22" s="4" t="n">
        <v>3000</v>
      </c>
      <c r="E22" s="4" t="n">
        <v>4500</v>
      </c>
      <c r="F22" s="4">
        <f>C22*D22</f>
        <v/>
      </c>
      <c r="G22" s="4">
        <f>C22*E22</f>
        <v/>
      </c>
      <c r="H22" s="3" t="inlineStr"/>
    </row>
    <row r="23">
      <c r="A23" s="3" t="inlineStr">
        <is>
          <t>Узел прохода через кровлю Ø200 с зонтом</t>
        </is>
      </c>
      <c r="B23" s="3" t="inlineStr">
        <is>
          <t>компл.</t>
        </is>
      </c>
      <c r="C23" s="4" t="n">
        <v>1</v>
      </c>
      <c r="D23" s="4" t="n">
        <v>15000</v>
      </c>
      <c r="E23" s="4" t="n">
        <v>30000</v>
      </c>
      <c r="F23" s="4">
        <f>C23*D23</f>
        <v/>
      </c>
      <c r="G23" s="4">
        <f>C23*E23</f>
        <v/>
      </c>
      <c r="H23" s="3" t="inlineStr"/>
    </row>
    <row r="24">
      <c r="A24" s="3" t="inlineStr">
        <is>
          <t>Решётка наружная Ø200 с сеткой</t>
        </is>
      </c>
      <c r="B24" s="3" t="inlineStr">
        <is>
          <t>шт.</t>
        </is>
      </c>
      <c r="C24" s="4" t="n">
        <v>1</v>
      </c>
      <c r="D24" s="4" t="n">
        <v>2000</v>
      </c>
      <c r="E24" s="4" t="n">
        <v>4000</v>
      </c>
      <c r="F24" s="4">
        <f>C24*D24</f>
        <v/>
      </c>
      <c r="G24" s="4">
        <f>C24*E24</f>
        <v/>
      </c>
      <c r="H24" s="3" t="inlineStr"/>
    </row>
    <row r="25">
      <c r="A25" s="3" t="inlineStr">
        <is>
          <t>Решётка/диффузор приточный 400×150 с регулятором</t>
        </is>
      </c>
      <c r="B25" s="3" t="inlineStr">
        <is>
          <t>шт.</t>
        </is>
      </c>
      <c r="C25" s="4" t="n">
        <v>1</v>
      </c>
      <c r="D25" s="4" t="n">
        <v>3000</v>
      </c>
      <c r="E25" s="4" t="n">
        <v>6000</v>
      </c>
      <c r="F25" s="4">
        <f>C25*D25</f>
        <v/>
      </c>
      <c r="G25" s="4">
        <f>C25*E25</f>
        <v/>
      </c>
      <c r="H25" s="3" t="inlineStr"/>
    </row>
    <row r="26">
      <c r="A26" s="3" t="inlineStr">
        <is>
          <t>Вентилятор канальный термостойкий (до +120 °C), L=130 м³/ч, Pсв=150 Па, Ø125</t>
        </is>
      </c>
      <c r="B26" s="3" t="inlineStr">
        <is>
          <t>шт.</t>
        </is>
      </c>
      <c r="C26" s="4" t="n">
        <v>1</v>
      </c>
      <c r="D26" s="4" t="n">
        <v>25000</v>
      </c>
      <c r="E26" s="4" t="n">
        <v>50000</v>
      </c>
      <c r="F26" s="4">
        <f>C26*D26</f>
        <v/>
      </c>
      <c r="G26" s="4">
        <f>C26*E26</f>
        <v/>
      </c>
      <c r="H26" s="3" t="inlineStr"/>
    </row>
    <row r="27">
      <c r="A27" s="3" t="inlineStr">
        <is>
          <t>Клапан вытяжной для сауны регулируемый (дерево/нерж.) Ø125</t>
        </is>
      </c>
      <c r="B27" s="3" t="inlineStr">
        <is>
          <t>шт.</t>
        </is>
      </c>
      <c r="C27" s="4" t="n">
        <v>1</v>
      </c>
      <c r="D27" s="4" t="n">
        <v>3000</v>
      </c>
      <c r="E27" s="4" t="n">
        <v>6000</v>
      </c>
      <c r="F27" s="4">
        <f>C27*D27</f>
        <v/>
      </c>
      <c r="G27" s="4">
        <f>C27*E27</f>
        <v/>
      </c>
      <c r="H27" s="3" t="inlineStr"/>
    </row>
    <row r="28">
      <c r="A28" s="3" t="inlineStr">
        <is>
          <t>Клапан обратный Ø125</t>
        </is>
      </c>
      <c r="B28" s="3" t="inlineStr">
        <is>
          <t>шт.</t>
        </is>
      </c>
      <c r="C28" s="4" t="n">
        <v>1</v>
      </c>
      <c r="D28" s="4" t="n">
        <v>1000</v>
      </c>
      <c r="E28" s="4" t="n">
        <v>2000</v>
      </c>
      <c r="F28" s="4">
        <f>C28*D28</f>
        <v/>
      </c>
      <c r="G28" s="4">
        <f>C28*E28</f>
        <v/>
      </c>
      <c r="H28" s="3" t="inlineStr"/>
    </row>
    <row r="29">
      <c r="A29" s="3" t="inlineStr">
        <is>
          <t>Воздуховод из нержавеющей стали Ø125, δ=0,5 мм</t>
        </is>
      </c>
      <c r="B29" s="3" t="inlineStr">
        <is>
          <t>м</t>
        </is>
      </c>
      <c r="C29" s="4" t="n">
        <v>10</v>
      </c>
      <c r="D29" s="4" t="n">
        <v>1500</v>
      </c>
      <c r="E29" s="4" t="n">
        <v>3000</v>
      </c>
      <c r="F29" s="4">
        <f>C29*D29</f>
        <v/>
      </c>
      <c r="G29" s="4">
        <f>C29*E29</f>
        <v/>
      </c>
      <c r="H29" s="3" t="inlineStr"/>
    </row>
    <row r="30">
      <c r="A30" s="3" t="inlineStr">
        <is>
          <t>Изоляция базальтовая фольгированная δ=30 мм</t>
        </is>
      </c>
      <c r="B30" s="3" t="inlineStr">
        <is>
          <t>м²</t>
        </is>
      </c>
      <c r="C30" s="4" t="n">
        <v>4</v>
      </c>
      <c r="D30" s="4" t="n">
        <v>600</v>
      </c>
      <c r="E30" s="4" t="n">
        <v>1000</v>
      </c>
      <c r="F30" s="4">
        <f>C30*D30</f>
        <v/>
      </c>
      <c r="G30" s="4">
        <f>C30*E30</f>
        <v/>
      </c>
      <c r="H30" s="3" t="inlineStr"/>
    </row>
    <row r="31">
      <c r="A31" s="3" t="inlineStr">
        <is>
          <t>Узел прохода через кровлю Ø125 с зонтом</t>
        </is>
      </c>
      <c r="B31" s="3" t="inlineStr">
        <is>
          <t>компл.</t>
        </is>
      </c>
      <c r="C31" s="4" t="n">
        <v>1</v>
      </c>
      <c r="D31" s="4" t="n">
        <v>12000</v>
      </c>
      <c r="E31" s="4" t="n">
        <v>25000</v>
      </c>
      <c r="F31" s="4">
        <f>C31*D31</f>
        <v/>
      </c>
      <c r="G31" s="4">
        <f>C31*E31</f>
        <v/>
      </c>
      <c r="H31" s="3" t="inlineStr"/>
    </row>
    <row r="32">
      <c r="A32" s="3" t="inlineStr">
        <is>
          <t>Канал вытяжной естественный Ø200 оцинк. с утеплением δ=50 мм, с дефлектором над кровлей</t>
        </is>
      </c>
      <c r="B32" s="3" t="inlineStr">
        <is>
          <t>компл.</t>
        </is>
      </c>
      <c r="C32" s="4" t="n">
        <v>1</v>
      </c>
      <c r="D32" s="4" t="n">
        <v>40000</v>
      </c>
      <c r="E32" s="4" t="n">
        <v>80000</v>
      </c>
      <c r="F32" s="4">
        <f>C32*D32</f>
        <v/>
      </c>
      <c r="G32" s="4">
        <f>C32*E32</f>
        <v/>
      </c>
      <c r="H32" s="3" t="inlineStr"/>
    </row>
    <row r="33">
      <c r="A33" s="3" t="inlineStr">
        <is>
          <t>Решётка вентиляционная наружная 300×200 с утеплённой заслонкой</t>
        </is>
      </c>
      <c r="B33" s="3" t="inlineStr">
        <is>
          <t>шт.</t>
        </is>
      </c>
      <c r="C33" s="4" t="n">
        <v>1</v>
      </c>
      <c r="D33" s="4" t="n">
        <v>8000</v>
      </c>
      <c r="E33" s="4" t="n">
        <v>15000</v>
      </c>
      <c r="F33" s="4">
        <f>C33*D33</f>
        <v/>
      </c>
      <c r="G33" s="4">
        <f>C33*E33</f>
        <v/>
      </c>
      <c r="H33" s="3" t="inlineStr"/>
    </row>
    <row r="34">
      <c r="A34" s="3" t="inlineStr">
        <is>
          <t>Воздуховод подачи воздуха на горение к топке камина Ø125 с заслонкой и наружной решёткой</t>
        </is>
      </c>
      <c r="B34" s="3" t="inlineStr">
        <is>
          <t>компл.</t>
        </is>
      </c>
      <c r="C34" s="4" t="n">
        <v>1</v>
      </c>
      <c r="D34" s="4" t="n">
        <v>15000</v>
      </c>
      <c r="E34" s="4" t="n">
        <v>30000</v>
      </c>
      <c r="F34" s="4">
        <f>C34*D34</f>
        <v/>
      </c>
      <c r="G34" s="4">
        <f>C34*E34</f>
        <v/>
      </c>
      <c r="H34" s="3" t="inlineStr"/>
    </row>
    <row r="35">
      <c r="A35" s="3" t="inlineStr">
        <is>
          <t>Наружный блок мини-VRF (тепловой насос), Qх=22.4 кВт, R410A/R32, 380 В</t>
        </is>
      </c>
      <c r="B35" s="3" t="inlineStr">
        <is>
          <t>шт.</t>
        </is>
      </c>
      <c r="C35" s="4" t="n">
        <v>1</v>
      </c>
      <c r="D35" s="4" t="n">
        <v>450000</v>
      </c>
      <c r="E35" s="4" t="n">
        <v>800000</v>
      </c>
      <c r="F35" s="4">
        <f>C35*D35</f>
        <v/>
      </c>
      <c r="G35" s="4">
        <f>C35*E35</f>
        <v/>
      </c>
      <c r="H35" s="3" t="inlineStr"/>
    </row>
    <row r="36">
      <c r="A36" s="3" t="inlineStr">
        <is>
          <t>Наружный блок мини-VRF (тепловой насос), Qх=12.1 кВт, R410A/R32, 380 В</t>
        </is>
      </c>
      <c r="B36" s="3" t="inlineStr">
        <is>
          <t>шт.</t>
        </is>
      </c>
      <c r="C36" s="4" t="n">
        <v>1</v>
      </c>
      <c r="D36" s="4" t="n">
        <v>280000</v>
      </c>
      <c r="E36" s="4" t="n">
        <v>480000</v>
      </c>
      <c r="F36" s="4">
        <f>C36*D36</f>
        <v/>
      </c>
      <c r="G36" s="4">
        <f>C36*E36</f>
        <v/>
      </c>
      <c r="H36" s="3" t="inlineStr"/>
    </row>
    <row r="37">
      <c r="A37" s="3" t="inlineStr">
        <is>
          <t>Внутренний блок настенный, Qх=2.2 кВт</t>
        </is>
      </c>
      <c r="B37" s="3" t="inlineStr">
        <is>
          <t>шт.</t>
        </is>
      </c>
      <c r="C37" s="4" t="n">
        <v>1</v>
      </c>
      <c r="D37" s="4" t="n">
        <v>53200</v>
      </c>
      <c r="E37" s="4" t="n">
        <v>87600</v>
      </c>
      <c r="F37" s="4">
        <f>C37*D37</f>
        <v/>
      </c>
      <c r="G37" s="4">
        <f>C37*E37</f>
        <v/>
      </c>
      <c r="H37" s="3" t="inlineStr"/>
    </row>
    <row r="38">
      <c r="A38" s="3" t="inlineStr">
        <is>
          <t>Внутренний блок настенный, Qх=4.5 кВт</t>
        </is>
      </c>
      <c r="B38" s="3" t="inlineStr">
        <is>
          <t>шт.</t>
        </is>
      </c>
      <c r="C38" s="4" t="n">
        <v>1</v>
      </c>
      <c r="D38" s="4" t="n">
        <v>67000</v>
      </c>
      <c r="E38" s="4" t="n">
        <v>106000</v>
      </c>
      <c r="F38" s="4">
        <f>C38*D38</f>
        <v/>
      </c>
      <c r="G38" s="4">
        <f>C38*E38</f>
        <v/>
      </c>
      <c r="H38" s="3" t="inlineStr"/>
    </row>
    <row r="39">
      <c r="A39" s="3" t="inlineStr">
        <is>
          <t>Внутренний блок настенный, Qх=7.1 кВт</t>
        </is>
      </c>
      <c r="B39" s="3" t="inlineStr">
        <is>
          <t>шт.</t>
        </is>
      </c>
      <c r="C39" s="4" t="n">
        <v>1</v>
      </c>
      <c r="D39" s="4" t="n">
        <v>82600</v>
      </c>
      <c r="E39" s="4" t="n">
        <v>126800</v>
      </c>
      <c r="F39" s="4">
        <f>C39*D39</f>
        <v/>
      </c>
      <c r="G39" s="4">
        <f>C39*E39</f>
        <v/>
      </c>
      <c r="H39" s="3" t="inlineStr"/>
    </row>
    <row r="40">
      <c r="A40" s="3" t="inlineStr">
        <is>
          <t>Внутренний блок настенный, Qх=5.6 кВт</t>
        </is>
      </c>
      <c r="B40" s="3" t="inlineStr">
        <is>
          <t>шт.</t>
        </is>
      </c>
      <c r="C40" s="4" t="n">
        <v>1</v>
      </c>
      <c r="D40" s="4" t="n">
        <v>73600</v>
      </c>
      <c r="E40" s="4" t="n">
        <v>114800</v>
      </c>
      <c r="F40" s="4">
        <f>C40*D40</f>
        <v/>
      </c>
      <c r="G40" s="4">
        <f>C40*E40</f>
        <v/>
      </c>
      <c r="H40" s="3" t="inlineStr"/>
    </row>
    <row r="41">
      <c r="A41" s="3" t="inlineStr">
        <is>
          <t>Внутренний блок настенный, Qх=2.8 кВт</t>
        </is>
      </c>
      <c r="B41" s="3" t="inlineStr">
        <is>
          <t>шт.</t>
        </is>
      </c>
      <c r="C41" s="4" t="n">
        <v>1</v>
      </c>
      <c r="D41" s="4" t="n">
        <v>56800</v>
      </c>
      <c r="E41" s="4" t="n">
        <v>92400</v>
      </c>
      <c r="F41" s="4">
        <f>C41*D41</f>
        <v/>
      </c>
      <c r="G41" s="4">
        <f>C41*E41</f>
        <v/>
      </c>
      <c r="H41" s="3" t="inlineStr"/>
    </row>
    <row r="42">
      <c r="A42" s="3" t="inlineStr">
        <is>
          <t>Внутренний блок настенный, Qх=2.8 кВт</t>
        </is>
      </c>
      <c r="B42" s="3" t="inlineStr">
        <is>
          <t>шт.</t>
        </is>
      </c>
      <c r="C42" s="4" t="n">
        <v>1</v>
      </c>
      <c r="D42" s="4" t="n">
        <v>56800</v>
      </c>
      <c r="E42" s="4" t="n">
        <v>92400</v>
      </c>
      <c r="F42" s="4">
        <f>C42*D42</f>
        <v/>
      </c>
      <c r="G42" s="4">
        <f>C42*E42</f>
        <v/>
      </c>
      <c r="H42" s="3" t="inlineStr"/>
    </row>
    <row r="43">
      <c r="A43" s="3" t="inlineStr">
        <is>
          <t>Внутренний блок настенный, Qх=2.8 кВт</t>
        </is>
      </c>
      <c r="B43" s="3" t="inlineStr">
        <is>
          <t>шт.</t>
        </is>
      </c>
      <c r="C43" s="4" t="n">
        <v>1</v>
      </c>
      <c r="D43" s="4" t="n">
        <v>56800</v>
      </c>
      <c r="E43" s="4" t="n">
        <v>92400</v>
      </c>
      <c r="F43" s="4">
        <f>C43*D43</f>
        <v/>
      </c>
      <c r="G43" s="4">
        <f>C43*E43</f>
        <v/>
      </c>
      <c r="H43" s="3" t="inlineStr"/>
    </row>
    <row r="44">
      <c r="A44" s="3" t="inlineStr">
        <is>
          <t>Внутренний блок настенный, Qх=2.2 кВт</t>
        </is>
      </c>
      <c r="B44" s="3" t="inlineStr">
        <is>
          <t>шт.</t>
        </is>
      </c>
      <c r="C44" s="4" t="n">
        <v>1</v>
      </c>
      <c r="D44" s="4" t="n">
        <v>53200</v>
      </c>
      <c r="E44" s="4" t="n">
        <v>87600</v>
      </c>
      <c r="F44" s="4">
        <f>C44*D44</f>
        <v/>
      </c>
      <c r="G44" s="4">
        <f>C44*E44</f>
        <v/>
      </c>
      <c r="H44" s="3" t="inlineStr"/>
    </row>
    <row r="45">
      <c r="A45" s="3" t="inlineStr">
        <is>
          <t>Внутренний блок настенный, Qх=2.2 кВт</t>
        </is>
      </c>
      <c r="B45" s="3" t="inlineStr">
        <is>
          <t>шт.</t>
        </is>
      </c>
      <c r="C45" s="4" t="n">
        <v>1</v>
      </c>
      <c r="D45" s="4" t="n">
        <v>53200</v>
      </c>
      <c r="E45" s="4" t="n">
        <v>87600</v>
      </c>
      <c r="F45" s="4">
        <f>C45*D45</f>
        <v/>
      </c>
      <c r="G45" s="4">
        <f>C45*E45</f>
        <v/>
      </c>
      <c r="H45" s="3" t="inlineStr"/>
    </row>
    <row r="46">
      <c r="A46" s="3" t="inlineStr">
        <is>
          <t>Внутренний блок настенный, Qх=2.2 кВт</t>
        </is>
      </c>
      <c r="B46" s="3" t="inlineStr">
        <is>
          <t>шт.</t>
        </is>
      </c>
      <c r="C46" s="4" t="n">
        <v>1</v>
      </c>
      <c r="D46" s="4" t="n">
        <v>53200</v>
      </c>
      <c r="E46" s="4" t="n">
        <v>87600</v>
      </c>
      <c r="F46" s="4">
        <f>C46*D46</f>
        <v/>
      </c>
      <c r="G46" s="4">
        <f>C46*E46</f>
        <v/>
      </c>
      <c r="H46" s="3" t="inlineStr"/>
    </row>
    <row r="47">
      <c r="A47" s="3" t="inlineStr">
        <is>
          <t>Внутренний блок настенный, Qх=2.8 кВт</t>
        </is>
      </c>
      <c r="B47" s="3" t="inlineStr">
        <is>
          <t>шт.</t>
        </is>
      </c>
      <c r="C47" s="4" t="n">
        <v>1</v>
      </c>
      <c r="D47" s="4" t="n">
        <v>56800</v>
      </c>
      <c r="E47" s="4" t="n">
        <v>92400</v>
      </c>
      <c r="F47" s="4">
        <f>C47*D47</f>
        <v/>
      </c>
      <c r="G47" s="4">
        <f>C47*E47</f>
        <v/>
      </c>
      <c r="H47" s="3" t="inlineStr"/>
    </row>
    <row r="48">
      <c r="A48" s="3" t="inlineStr">
        <is>
          <t>Разветвитель (рефнет) фреоновый</t>
        </is>
      </c>
      <c r="B48" s="3" t="inlineStr">
        <is>
          <t>шт.</t>
        </is>
      </c>
      <c r="C48" s="4" t="n">
        <v>9</v>
      </c>
      <c r="D48" s="4" t="n">
        <v>4000</v>
      </c>
      <c r="E48" s="4" t="n">
        <v>8000</v>
      </c>
      <c r="F48" s="4">
        <f>C48*D48</f>
        <v/>
      </c>
      <c r="G48" s="4">
        <f>C48*E48</f>
        <v/>
      </c>
      <c r="H48" s="3" t="inlineStr"/>
    </row>
    <row r="49">
      <c r="A49" s="3" t="inlineStr">
        <is>
          <t>Труба медная отожжённая Ø6,35…Ø19,05 (ГОСТ Р 52318-2005)</t>
        </is>
      </c>
      <c r="B49" s="3" t="inlineStr">
        <is>
          <t>м</t>
        </is>
      </c>
      <c r="C49" s="4" t="n">
        <v>220</v>
      </c>
      <c r="D49" s="4" t="n">
        <v>900</v>
      </c>
      <c r="E49" s="4" t="n">
        <v>1500</v>
      </c>
      <c r="F49" s="4">
        <f>C49*D49</f>
        <v/>
      </c>
      <c r="G49" s="4">
        <f>C49*E49</f>
        <v/>
      </c>
      <c r="H49" s="3" t="inlineStr"/>
    </row>
    <row r="50">
      <c r="A50" s="3" t="inlineStr">
        <is>
          <t>Изоляция трубная вспененный каучук δ=13 мм</t>
        </is>
      </c>
      <c r="B50" s="3" t="inlineStr">
        <is>
          <t>м</t>
        </is>
      </c>
      <c r="C50" s="4" t="n">
        <v>220</v>
      </c>
      <c r="D50" s="4" t="n">
        <v>120</v>
      </c>
      <c r="E50" s="4" t="n">
        <v>250</v>
      </c>
      <c r="F50" s="4">
        <f>C50*D50</f>
        <v/>
      </c>
      <c r="G50" s="4">
        <f>C50*E50</f>
        <v/>
      </c>
      <c r="H50" s="3" t="inlineStr"/>
    </row>
    <row r="51">
      <c r="A51" s="3" t="inlineStr">
        <is>
          <t>Кабель межблочной связи экранированный 2×0,75</t>
        </is>
      </c>
      <c r="B51" s="3" t="inlineStr">
        <is>
          <t>м</t>
        </is>
      </c>
      <c r="C51" s="4" t="n">
        <v>130</v>
      </c>
      <c r="D51" s="4" t="n">
        <v>60</v>
      </c>
      <c r="E51" s="4" t="n">
        <v>120</v>
      </c>
      <c r="F51" s="4">
        <f>C51*D51</f>
        <v/>
      </c>
      <c r="G51" s="4">
        <f>C51*E51</f>
        <v/>
      </c>
      <c r="H51" s="3" t="inlineStr"/>
    </row>
    <row r="52">
      <c r="A52" s="3" t="inlineStr">
        <is>
          <t>Дренажная труба ПП Ø32 с гидрозатвором (сухой затвор)</t>
        </is>
      </c>
      <c r="B52" s="3" t="inlineStr">
        <is>
          <t>м</t>
        </is>
      </c>
      <c r="C52" s="4" t="n">
        <v>60</v>
      </c>
      <c r="D52" s="4" t="n">
        <v>250</v>
      </c>
      <c r="E52" s="4" t="n">
        <v>500</v>
      </c>
      <c r="F52" s="4">
        <f>C52*D52</f>
        <v/>
      </c>
      <c r="G52" s="4">
        <f>C52*E52</f>
        <v/>
      </c>
      <c r="H52" s="3" t="inlineStr"/>
    </row>
    <row r="53">
      <c r="A53" s="3" t="inlineStr">
        <is>
          <t>Опора наружного блока (рама на фундаментных блоках)</t>
        </is>
      </c>
      <c r="B53" s="3" t="inlineStr">
        <is>
          <t>компл.</t>
        </is>
      </c>
      <c r="C53" s="4" t="n">
        <v>2</v>
      </c>
      <c r="D53" s="4" t="n">
        <v>15000</v>
      </c>
      <c r="E53" s="4" t="n">
        <v>30000</v>
      </c>
      <c r="F53" s="4">
        <f>C53*D53</f>
        <v/>
      </c>
      <c r="G53" s="4">
        <f>C53*E53</f>
        <v/>
      </c>
      <c r="H53" s="3" t="inlineStr"/>
    </row>
    <row r="54">
      <c r="A54" s="3" t="inlineStr">
        <is>
          <t>Пульт управления проводной индивидуальный</t>
        </is>
      </c>
      <c r="B54" s="3" t="inlineStr">
        <is>
          <t>шт.</t>
        </is>
      </c>
      <c r="C54" s="4" t="n">
        <v>11</v>
      </c>
      <c r="D54" s="4" t="n">
        <v>6000</v>
      </c>
      <c r="E54" s="4" t="n">
        <v>12000</v>
      </c>
      <c r="F54" s="4">
        <f>C54*D54</f>
        <v/>
      </c>
      <c r="G54" s="4">
        <f>C54*E54</f>
        <v/>
      </c>
      <c r="H54" s="3" t="inlineStr"/>
    </row>
    <row r="55">
      <c r="A55" s="3" t="inlineStr">
        <is>
          <t>Материалы и оборудование (этап 1)</t>
        </is>
      </c>
      <c r="B55" s="3" t="n"/>
      <c r="C55" s="4" t="n"/>
      <c r="D55" s="4" t="n"/>
      <c r="E55" s="4" t="n"/>
      <c r="F55" s="4">
        <f>SUMIF(H2:H54,"",F2:F54)</f>
        <v/>
      </c>
      <c r="G55" s="4">
        <f>SUMIF(H2:H54,"",G2:G54)</f>
        <v/>
      </c>
      <c r="H55" s="3" t="n"/>
    </row>
    <row r="56">
      <c r="A56" s="3" t="inlineStr">
        <is>
          <t>Монтажные работы</t>
        </is>
      </c>
      <c r="B56" s="3" t="n"/>
      <c r="C56" s="4" t="n"/>
      <c r="D56" s="4" t="n"/>
      <c r="E56" s="4" t="n"/>
      <c r="F56" s="4" t="n">
        <v>1190070</v>
      </c>
      <c r="G56" s="4" t="n">
        <v>1700100</v>
      </c>
      <c r="H56" s="3" t="inlineStr">
        <is>
          <t>оценка</t>
        </is>
      </c>
    </row>
    <row r="57">
      <c r="A57" s="3" t="inlineStr">
        <is>
          <t>Крепёж, расходники, доставка</t>
        </is>
      </c>
      <c r="B57" s="3" t="n"/>
      <c r="C57" s="4" t="n"/>
      <c r="D57" s="4" t="n"/>
      <c r="E57" s="4" t="n"/>
      <c r="F57" s="4" t="n">
        <v>170010</v>
      </c>
      <c r="G57" s="4" t="n">
        <v>272016</v>
      </c>
      <c r="H57" s="3" t="inlineStr">
        <is>
          <t>оценка</t>
        </is>
      </c>
    </row>
    <row r="58">
      <c r="A58" s="3" t="inlineStr">
        <is>
          <t>Пусконаладка: аэродинамические испытания, балансировка, пуск VRF</t>
        </is>
      </c>
      <c r="B58" s="3" t="n"/>
      <c r="C58" s="4" t="n"/>
      <c r="D58" s="4" t="n"/>
      <c r="E58" s="4" t="n"/>
      <c r="F58" s="4" t="n">
        <v>80000</v>
      </c>
      <c r="G58" s="4" t="n">
        <v>150000</v>
      </c>
      <c r="H58" s="3" t="inlineStr">
        <is>
          <t>оценка</t>
        </is>
      </c>
    </row>
    <row r="59">
      <c r="A59" s="5" t="inlineStr">
        <is>
          <t>ИТОГО этап 1</t>
        </is>
      </c>
      <c r="B59" s="5" t="n"/>
      <c r="C59" s="6" t="n"/>
      <c r="D59" s="6" t="n"/>
      <c r="E59" s="6" t="n"/>
      <c r="F59" s="6">
        <f>SUM(F55:F58)</f>
        <v/>
      </c>
      <c r="G59" s="6">
        <f>SUM(G55:G58)</f>
        <v/>
      </c>
      <c r="H5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</cols>
  <sheetData>
    <row r="1">
      <c r="A1" s="1" t="inlineStr">
        <is>
          <t>Позиция</t>
        </is>
      </c>
      <c r="B1" s="1" t="inlineStr">
        <is>
          <t>Ед.</t>
        </is>
      </c>
      <c r="C1" s="2" t="inlineStr">
        <is>
          <t>Кол-во</t>
        </is>
      </c>
      <c r="D1" s="2" t="inlineStr">
        <is>
          <t>Цена мин., ₽</t>
        </is>
      </c>
      <c r="E1" s="2" t="inlineStr">
        <is>
          <t>Цена макс., ₽</t>
        </is>
      </c>
      <c r="F1" s="2" t="inlineStr">
        <is>
          <t>Сумма мин., ₽</t>
        </is>
      </c>
      <c r="G1" s="2" t="inlineStr">
        <is>
          <t>Сумма макс., ₽</t>
        </is>
      </c>
      <c r="H1" s="1" t="inlineStr">
        <is>
          <t>Примечание</t>
        </is>
      </c>
    </row>
    <row r="2">
      <c r="A2" s="3" t="inlineStr">
        <is>
          <t>Котёл пеллетный 50 кВт с автоматическим розжигом, модуляцией, бункером 500 л, автоочисткой теплообменника</t>
        </is>
      </c>
      <c r="B2" s="3" t="inlineStr">
        <is>
          <t>компл.</t>
        </is>
      </c>
      <c r="C2" s="4" t="n">
        <v>1</v>
      </c>
      <c r="D2" s="4" t="n">
        <v>700000</v>
      </c>
      <c r="E2" s="4" t="n">
        <v>2000000</v>
      </c>
      <c r="F2" s="4">
        <f>C2*D2</f>
        <v/>
      </c>
      <c r="G2" s="4">
        <f>C2*E2</f>
        <v/>
      </c>
      <c r="H2" s="3" t="inlineStr"/>
    </row>
    <row r="3">
      <c r="A3" s="3" t="inlineStr">
        <is>
          <t>Подача пеллет со склада (шнек/вакуум) с огнезащитной муфтой</t>
        </is>
      </c>
      <c r="B3" s="3" t="inlineStr">
        <is>
          <t>компл.</t>
        </is>
      </c>
      <c r="C3" s="4" t="n">
        <v>1</v>
      </c>
      <c r="D3" s="4" t="n">
        <v>120000</v>
      </c>
      <c r="E3" s="4" t="n">
        <v>350000</v>
      </c>
      <c r="F3" s="4">
        <f>C3*D3</f>
        <v/>
      </c>
      <c r="G3" s="4">
        <f>C3*E3</f>
        <v/>
      </c>
      <c r="H3" s="3" t="inlineStr"/>
    </row>
    <row r="4">
      <c r="A4" s="3" t="inlineStr">
        <is>
          <t>Котёл электрический 24 кВт, 380 В, 3 ступени</t>
        </is>
      </c>
      <c r="B4" s="3" t="inlineStr">
        <is>
          <t>шт.</t>
        </is>
      </c>
      <c r="C4" s="4" t="n">
        <v>1</v>
      </c>
      <c r="D4" s="4" t="n">
        <v>50000</v>
      </c>
      <c r="E4" s="4" t="n">
        <v>110000</v>
      </c>
      <c r="F4" s="4">
        <f>C4*D4</f>
        <v/>
      </c>
      <c r="G4" s="4">
        <f>C4*E4</f>
        <v/>
      </c>
      <c r="H4" s="3" t="inlineStr"/>
    </row>
    <row r="5">
      <c r="A5" s="3" t="inlineStr">
        <is>
          <t>Котёл газовый конденсационный 50 кВт с коаксиальным дымоходом</t>
        </is>
      </c>
      <c r="B5" s="3" t="inlineStr">
        <is>
          <t>шт.</t>
        </is>
      </c>
      <c r="C5" s="4" t="n">
        <v>1</v>
      </c>
      <c r="D5" s="4" t="n">
        <v>250000</v>
      </c>
      <c r="E5" s="4" t="n">
        <v>550000</v>
      </c>
      <c r="F5" s="4">
        <f>C5*D5</f>
        <v/>
      </c>
      <c r="G5" s="4">
        <f>C5*E5</f>
        <v/>
      </c>
      <c r="H5" s="3" t="inlineStr">
        <is>
          <t>этап 2</t>
        </is>
      </c>
    </row>
    <row r="6">
      <c r="A6" s="3" t="inlineStr">
        <is>
          <t>Буферная ёмкость 1000 л с теплоизоляцией</t>
        </is>
      </c>
      <c r="B6" s="3" t="inlineStr">
        <is>
          <t>шт.</t>
        </is>
      </c>
      <c r="C6" s="4" t="n">
        <v>1</v>
      </c>
      <c r="D6" s="4" t="n">
        <v>120000</v>
      </c>
      <c r="E6" s="4" t="n">
        <v>220000</v>
      </c>
      <c r="F6" s="4">
        <f>C6*D6</f>
        <v/>
      </c>
      <c r="G6" s="4">
        <f>C6*E6</f>
        <v/>
      </c>
      <c r="H6" s="3" t="inlineStr"/>
    </row>
    <row r="7">
      <c r="A7" s="3" t="inlineStr">
        <is>
          <t>Бойлер косвенного нагрева 300 л, змеевик ≥ 30 кВт</t>
        </is>
      </c>
      <c r="B7" s="3" t="inlineStr">
        <is>
          <t>шт.</t>
        </is>
      </c>
      <c r="C7" s="4" t="n">
        <v>1</v>
      </c>
      <c r="D7" s="4" t="n">
        <v>90000</v>
      </c>
      <c r="E7" s="4" t="n">
        <v>180000</v>
      </c>
      <c r="F7" s="4">
        <f>C7*D7</f>
        <v/>
      </c>
      <c r="G7" s="4">
        <f>C7*E7</f>
        <v/>
      </c>
      <c r="H7" s="3" t="inlineStr"/>
    </row>
    <row r="8">
      <c r="A8" s="3" t="inlineStr">
        <is>
          <t>Термосмесительный клапан защиты обратки 55 °C, Ду32</t>
        </is>
      </c>
      <c r="B8" s="3" t="inlineStr">
        <is>
          <t>шт.</t>
        </is>
      </c>
      <c r="C8" s="4" t="n">
        <v>1</v>
      </c>
      <c r="D8" s="4" t="n">
        <v>10000</v>
      </c>
      <c r="E8" s="4" t="n">
        <v>20000</v>
      </c>
      <c r="F8" s="4">
        <f>C8*D8</f>
        <v/>
      </c>
      <c r="G8" s="4">
        <f>C8*E8</f>
        <v/>
      </c>
      <c r="H8" s="3" t="inlineStr"/>
    </row>
    <row r="9">
      <c r="A9" s="3" t="inlineStr">
        <is>
          <t>Насосные группы (прямая/смесительная), Ду25…32, насосы с ЭК</t>
        </is>
      </c>
      <c r="B9" s="3" t="inlineStr">
        <is>
          <t>компл.</t>
        </is>
      </c>
      <c r="C9" s="4" t="n">
        <v>6</v>
      </c>
      <c r="D9" s="4" t="n">
        <v>35000</v>
      </c>
      <c r="E9" s="4" t="n">
        <v>70000</v>
      </c>
      <c r="F9" s="4">
        <f>C9*D9</f>
        <v/>
      </c>
      <c r="G9" s="4">
        <f>C9*E9</f>
        <v/>
      </c>
      <c r="H9" s="3" t="inlineStr"/>
    </row>
    <row r="10">
      <c r="A10" s="3" t="inlineStr">
        <is>
          <t>Гидрострелка/распределительный коллектор на 5 контуров</t>
        </is>
      </c>
      <c r="B10" s="3" t="inlineStr">
        <is>
          <t>шт.</t>
        </is>
      </c>
      <c r="C10" s="4" t="n">
        <v>1</v>
      </c>
      <c r="D10" s="4" t="n">
        <v>40000</v>
      </c>
      <c r="E10" s="4" t="n">
        <v>80000</v>
      </c>
      <c r="F10" s="4">
        <f>C10*D10</f>
        <v/>
      </c>
      <c r="G10" s="4">
        <f>C10*E10</f>
        <v/>
      </c>
      <c r="H10" s="3" t="inlineStr"/>
    </row>
    <row r="11">
      <c r="A11" s="3" t="inlineStr">
        <is>
          <t>Погодозависимый каскадный контроллер с GSM/Wi-Fi</t>
        </is>
      </c>
      <c r="B11" s="3" t="inlineStr">
        <is>
          <t>компл.</t>
        </is>
      </c>
      <c r="C11" s="4" t="n">
        <v>1</v>
      </c>
      <c r="D11" s="4" t="n">
        <v>60000</v>
      </c>
      <c r="E11" s="4" t="n">
        <v>150000</v>
      </c>
      <c r="F11" s="4">
        <f>C11*D11</f>
        <v/>
      </c>
      <c r="G11" s="4">
        <f>C11*E11</f>
        <v/>
      </c>
      <c r="H11" s="3" t="inlineStr"/>
    </row>
    <row r="12">
      <c r="A12" s="3" t="inlineStr">
        <is>
          <t>Расширительные баки: отопление 50 л, ГВС 24 л</t>
        </is>
      </c>
      <c r="B12" s="3" t="inlineStr">
        <is>
          <t>шт.</t>
        </is>
      </c>
      <c r="C12" s="4" t="n">
        <v>2</v>
      </c>
      <c r="D12" s="4" t="n">
        <v>6000</v>
      </c>
      <c r="E12" s="4" t="n">
        <v>15000</v>
      </c>
      <c r="F12" s="4">
        <f>C12*D12</f>
        <v/>
      </c>
      <c r="G12" s="4">
        <f>C12*E12</f>
        <v/>
      </c>
      <c r="H12" s="3" t="inlineStr"/>
    </row>
    <row r="13">
      <c r="A13" s="3" t="inlineStr">
        <is>
          <t>Группы безопасности котлов, клапан термозащиты К1</t>
        </is>
      </c>
      <c r="B13" s="3" t="inlineStr">
        <is>
          <t>компл.</t>
        </is>
      </c>
      <c r="C13" s="4" t="n">
        <v>3</v>
      </c>
      <c r="D13" s="4" t="n">
        <v>5000</v>
      </c>
      <c r="E13" s="4" t="n">
        <v>12000</v>
      </c>
      <c r="F13" s="4">
        <f>C13*D13</f>
        <v/>
      </c>
      <c r="G13" s="4">
        <f>C13*E13</f>
        <v/>
      </c>
      <c r="H13" s="3" t="inlineStr"/>
    </row>
    <row r="14">
      <c r="A14" s="3" t="inlineStr">
        <is>
          <t>Дымоход-сэндвич Ø150 нерж., по фасаду, с кронштейнами и разделкой</t>
        </is>
      </c>
      <c r="B14" s="3" t="inlineStr">
        <is>
          <t>компл.</t>
        </is>
      </c>
      <c r="C14" s="4" t="n">
        <v>1</v>
      </c>
      <c r="D14" s="4" t="n">
        <v>120000</v>
      </c>
      <c r="E14" s="4" t="n">
        <v>220000</v>
      </c>
      <c r="F14" s="4">
        <f>C14*D14</f>
        <v/>
      </c>
      <c r="G14" s="4">
        <f>C14*E14</f>
        <v/>
      </c>
      <c r="H14" s="3" t="inlineStr"/>
    </row>
    <row r="15">
      <c r="A15" s="3" t="inlineStr">
        <is>
          <t>Огнезащитная облицовка котельной (ЦСП, базальтовый картон, керамогранит)</t>
        </is>
      </c>
      <c r="B15" s="3" t="inlineStr">
        <is>
          <t>м²</t>
        </is>
      </c>
      <c r="C15" s="4" t="n">
        <v>45</v>
      </c>
      <c r="D15" s="4" t="n">
        <v>3000</v>
      </c>
      <c r="E15" s="4" t="n">
        <v>6000</v>
      </c>
      <c r="F15" s="4">
        <f>C15*D15</f>
        <v/>
      </c>
      <c r="G15" s="4">
        <f>C15*E15</f>
        <v/>
      </c>
      <c r="H15" s="3" t="inlineStr"/>
    </row>
    <row r="16">
      <c r="A16" s="3" t="inlineStr">
        <is>
          <t>Дверь противопожарная EI 30</t>
        </is>
      </c>
      <c r="B16" s="3" t="inlineStr">
        <is>
          <t>шт.</t>
        </is>
      </c>
      <c r="C16" s="4" t="n">
        <v>1</v>
      </c>
      <c r="D16" s="4" t="n">
        <v>35000</v>
      </c>
      <c r="E16" s="4" t="n">
        <v>70000</v>
      </c>
      <c r="F16" s="4">
        <f>C16*D16</f>
        <v/>
      </c>
      <c r="G16" s="4">
        <f>C16*E16</f>
        <v/>
      </c>
      <c r="H16" s="3" t="inlineStr"/>
    </row>
    <row r="17">
      <c r="A17" s="3" t="inlineStr">
        <is>
          <t>Датчик угарного газа с сиреной</t>
        </is>
      </c>
      <c r="B17" s="3" t="inlineStr">
        <is>
          <t>шт.</t>
        </is>
      </c>
      <c r="C17" s="4" t="n">
        <v>1</v>
      </c>
      <c r="D17" s="4" t="n">
        <v>4000</v>
      </c>
      <c r="E17" s="4" t="n">
        <v>10000</v>
      </c>
      <c r="F17" s="4">
        <f>C17*D17</f>
        <v/>
      </c>
      <c r="G17" s="4">
        <f>C17*E17</f>
        <v/>
      </c>
      <c r="H17" s="3" t="inlineStr"/>
    </row>
    <row r="18">
      <c r="A18" s="3" t="inlineStr">
        <is>
          <t>Труба PE-Xa 16×2,0 с антидиффузионным слоем</t>
        </is>
      </c>
      <c r="B18" s="3" t="inlineStr">
        <is>
          <t>м</t>
        </is>
      </c>
      <c r="C18" s="4" t="n">
        <v>3040</v>
      </c>
      <c r="D18" s="4" t="n">
        <v>110</v>
      </c>
      <c r="E18" s="4" t="n">
        <v>200</v>
      </c>
      <c r="F18" s="4">
        <f>C18*D18</f>
        <v/>
      </c>
      <c r="G18" s="4">
        <f>C18*E18</f>
        <v/>
      </c>
      <c r="H18" s="3" t="inlineStr"/>
    </row>
    <row r="19">
      <c r="A19" s="3" t="inlineStr">
        <is>
          <t>Коллекторный блок тёплого пола с расходомерами, сервоприводами 24 В, в шкафу</t>
        </is>
      </c>
      <c r="B19" s="3" t="inlineStr">
        <is>
          <t>компл.</t>
        </is>
      </c>
      <c r="C19" s="4" t="n">
        <v>4</v>
      </c>
      <c r="D19" s="4" t="n">
        <v>45000</v>
      </c>
      <c r="E19" s="4" t="n">
        <v>90000</v>
      </c>
      <c r="F19" s="4">
        <f>C19*D19</f>
        <v/>
      </c>
      <c r="G19" s="4">
        <f>C19*E19</f>
        <v/>
      </c>
      <c r="H19" s="3" t="inlineStr"/>
    </row>
    <row r="20">
      <c r="A20" s="3" t="inlineStr">
        <is>
          <t>Демпферная лента, якорная скоба/маты, фибра</t>
        </is>
      </c>
      <c r="B20" s="3" t="inlineStr">
        <is>
          <t>м²</t>
        </is>
      </c>
      <c r="C20" s="4" t="n">
        <v>360</v>
      </c>
      <c r="D20" s="4" t="n">
        <v>400</v>
      </c>
      <c r="E20" s="4" t="n">
        <v>900</v>
      </c>
      <c r="F20" s="4">
        <f>C20*D20</f>
        <v/>
      </c>
      <c r="G20" s="4">
        <f>C20*E20</f>
        <v/>
      </c>
      <c r="H20" s="3" t="inlineStr"/>
    </row>
    <row r="21">
      <c r="A21" s="3" t="inlineStr">
        <is>
          <t>Комнатные термостаты (проводные/радио)</t>
        </is>
      </c>
      <c r="B21" s="3" t="inlineStr">
        <is>
          <t>шт.</t>
        </is>
      </c>
      <c r="C21" s="4" t="n">
        <v>24</v>
      </c>
      <c r="D21" s="4" t="n">
        <v>4000</v>
      </c>
      <c r="E21" s="4" t="n">
        <v>12000</v>
      </c>
      <c r="F21" s="4">
        <f>C21*D21</f>
        <v/>
      </c>
      <c r="G21" s="4">
        <f>C21*E21</f>
        <v/>
      </c>
      <c r="H21" s="3" t="inlineStr"/>
    </row>
    <row r="22">
      <c r="A22" s="3" t="inlineStr">
        <is>
          <t>Конвектор внутрипольный естественный, L=2000</t>
        </is>
      </c>
      <c r="B22" s="3" t="inlineStr">
        <is>
          <t>шт.</t>
        </is>
      </c>
      <c r="C22" s="4" t="n">
        <v>1</v>
      </c>
      <c r="D22" s="4" t="n">
        <v>60000</v>
      </c>
      <c r="E22" s="4" t="n">
        <v>95000</v>
      </c>
      <c r="F22" s="4">
        <f>C22*D22</f>
        <v/>
      </c>
      <c r="G22" s="4">
        <f>C22*E22</f>
        <v/>
      </c>
      <c r="H22" s="3" t="inlineStr"/>
    </row>
    <row r="23">
      <c r="A23" s="3" t="inlineStr">
        <is>
          <t>Конвектор внутрипольный с вентилятором 24 В, L=2000</t>
        </is>
      </c>
      <c r="B23" s="3" t="inlineStr">
        <is>
          <t>шт.</t>
        </is>
      </c>
      <c r="C23" s="4" t="n">
        <v>2</v>
      </c>
      <c r="D23" s="4" t="n">
        <v>110000</v>
      </c>
      <c r="E23" s="4" t="n">
        <v>170000</v>
      </c>
      <c r="F23" s="4">
        <f>C23*D23</f>
        <v/>
      </c>
      <c r="G23" s="4">
        <f>C23*E23</f>
        <v/>
      </c>
      <c r="H23" s="3" t="inlineStr"/>
    </row>
    <row r="24">
      <c r="A24" s="3" t="inlineStr">
        <is>
          <t>Конвектор внутрипольный с вентилятором 24 В, L=2000</t>
        </is>
      </c>
      <c r="B24" s="3" t="inlineStr">
        <is>
          <t>шт.</t>
        </is>
      </c>
      <c r="C24" s="4" t="n">
        <v>1</v>
      </c>
      <c r="D24" s="4" t="n">
        <v>110000</v>
      </c>
      <c r="E24" s="4" t="n">
        <v>170000</v>
      </c>
      <c r="F24" s="4">
        <f>C24*D24</f>
        <v/>
      </c>
      <c r="G24" s="4">
        <f>C24*E24</f>
        <v/>
      </c>
      <c r="H24" s="3" t="inlineStr"/>
    </row>
    <row r="25">
      <c r="A25" s="3" t="inlineStr">
        <is>
          <t>Конвектор внутрипольный с вентилятором 24 В, L=2000</t>
        </is>
      </c>
      <c r="B25" s="3" t="inlineStr">
        <is>
          <t>шт.</t>
        </is>
      </c>
      <c r="C25" s="4" t="n">
        <v>2</v>
      </c>
      <c r="D25" s="4" t="n">
        <v>110000</v>
      </c>
      <c r="E25" s="4" t="n">
        <v>170000</v>
      </c>
      <c r="F25" s="4">
        <f>C25*D25</f>
        <v/>
      </c>
      <c r="G25" s="4">
        <f>C25*E25</f>
        <v/>
      </c>
      <c r="H25" s="3" t="inlineStr"/>
    </row>
    <row r="26">
      <c r="A26" s="3" t="inlineStr">
        <is>
          <t>Радиатор стальной панельный 22-500, Q≈430 Вт</t>
        </is>
      </c>
      <c r="B26" s="3" t="inlineStr">
        <is>
          <t>шт.</t>
        </is>
      </c>
      <c r="C26" s="4" t="n">
        <v>1</v>
      </c>
      <c r="D26" s="4" t="n">
        <v>6000</v>
      </c>
      <c r="E26" s="4" t="n">
        <v>12000</v>
      </c>
      <c r="F26" s="4">
        <f>C26*D26</f>
        <v/>
      </c>
      <c r="G26" s="4">
        <f>C26*E26</f>
        <v/>
      </c>
      <c r="H26" s="3" t="inlineStr"/>
    </row>
    <row r="27">
      <c r="A27" s="3" t="inlineStr">
        <is>
          <t>Конвектор внутрипольный с вентилятором 24 В, L=2000</t>
        </is>
      </c>
      <c r="B27" s="3" t="inlineStr">
        <is>
          <t>шт.</t>
        </is>
      </c>
      <c r="C27" s="4" t="n">
        <v>1</v>
      </c>
      <c r="D27" s="4" t="n">
        <v>110000</v>
      </c>
      <c r="E27" s="4" t="n">
        <v>170000</v>
      </c>
      <c r="F27" s="4">
        <f>C27*D27</f>
        <v/>
      </c>
      <c r="G27" s="4">
        <f>C27*E27</f>
        <v/>
      </c>
      <c r="H27" s="3" t="inlineStr"/>
    </row>
    <row r="28">
      <c r="A28" s="3" t="inlineStr">
        <is>
          <t>Конвектор внутрипольный с вентилятором 24 В, L=2000</t>
        </is>
      </c>
      <c r="B28" s="3" t="inlineStr">
        <is>
          <t>шт.</t>
        </is>
      </c>
      <c r="C28" s="4" t="n">
        <v>3</v>
      </c>
      <c r="D28" s="4" t="n">
        <v>110000</v>
      </c>
      <c r="E28" s="4" t="n">
        <v>170000</v>
      </c>
      <c r="F28" s="4">
        <f>C28*D28</f>
        <v/>
      </c>
      <c r="G28" s="4">
        <f>C28*E28</f>
        <v/>
      </c>
      <c r="H28" s="3" t="inlineStr"/>
    </row>
    <row r="29">
      <c r="A29" s="3" t="inlineStr">
        <is>
          <t>Конвектор внутрипольный естественный, L=2000</t>
        </is>
      </c>
      <c r="B29" s="3" t="inlineStr">
        <is>
          <t>шт.</t>
        </is>
      </c>
      <c r="C29" s="4" t="n">
        <v>2</v>
      </c>
      <c r="D29" s="4" t="n">
        <v>60000</v>
      </c>
      <c r="E29" s="4" t="n">
        <v>95000</v>
      </c>
      <c r="F29" s="4">
        <f>C29*D29</f>
        <v/>
      </c>
      <c r="G29" s="4">
        <f>C29*E29</f>
        <v/>
      </c>
      <c r="H29" s="3" t="inlineStr"/>
    </row>
    <row r="30">
      <c r="A30" s="3" t="inlineStr">
        <is>
          <t>Радиатор стальной панельный 22-500, Q≈570 Вт</t>
        </is>
      </c>
      <c r="B30" s="3" t="inlineStr">
        <is>
          <t>шт.</t>
        </is>
      </c>
      <c r="C30" s="4" t="n">
        <v>1</v>
      </c>
      <c r="D30" s="4" t="n">
        <v>6000</v>
      </c>
      <c r="E30" s="4" t="n">
        <v>12000</v>
      </c>
      <c r="F30" s="4">
        <f>C30*D30</f>
        <v/>
      </c>
      <c r="G30" s="4">
        <f>C30*E30</f>
        <v/>
      </c>
      <c r="H30" s="3" t="inlineStr"/>
    </row>
    <row r="31">
      <c r="A31" s="3" t="inlineStr">
        <is>
          <t>Радиатор стальной панельный 22-500, Q≈160 Вт</t>
        </is>
      </c>
      <c r="B31" s="3" t="inlineStr">
        <is>
          <t>шт.</t>
        </is>
      </c>
      <c r="C31" s="4" t="n">
        <v>1</v>
      </c>
      <c r="D31" s="4" t="n">
        <v>6000</v>
      </c>
      <c r="E31" s="4" t="n">
        <v>12000</v>
      </c>
      <c r="F31" s="4">
        <f>C31*D31</f>
        <v/>
      </c>
      <c r="G31" s="4">
        <f>C31*E31</f>
        <v/>
      </c>
      <c r="H31" s="3" t="inlineStr"/>
    </row>
    <row r="32">
      <c r="A32" s="3" t="inlineStr">
        <is>
          <t>Конвектор внутрипольный естественный, L=2000</t>
        </is>
      </c>
      <c r="B32" s="3" t="inlineStr">
        <is>
          <t>шт.</t>
        </is>
      </c>
      <c r="C32" s="4" t="n">
        <v>2</v>
      </c>
      <c r="D32" s="4" t="n">
        <v>60000</v>
      </c>
      <c r="E32" s="4" t="n">
        <v>95000</v>
      </c>
      <c r="F32" s="4">
        <f>C32*D32</f>
        <v/>
      </c>
      <c r="G32" s="4">
        <f>C32*E32</f>
        <v/>
      </c>
      <c r="H32" s="3" t="inlineStr"/>
    </row>
    <row r="33">
      <c r="A33" s="3" t="inlineStr">
        <is>
          <t>Полотенцесушитель водяной 600 Вт</t>
        </is>
      </c>
      <c r="B33" s="3" t="inlineStr">
        <is>
          <t>шт.</t>
        </is>
      </c>
      <c r="C33" s="4" t="n">
        <v>1</v>
      </c>
      <c r="D33" s="4" t="n">
        <v>15000</v>
      </c>
      <c r="E33" s="4" t="n">
        <v>40000</v>
      </c>
      <c r="F33" s="4">
        <f>C33*D33</f>
        <v/>
      </c>
      <c r="G33" s="4">
        <f>C33*E33</f>
        <v/>
      </c>
      <c r="H33" s="3" t="inlineStr"/>
    </row>
    <row r="34">
      <c r="A34" s="3" t="inlineStr">
        <is>
          <t>Конвектор внутрипольный естественный, L=2000</t>
        </is>
      </c>
      <c r="B34" s="3" t="inlineStr">
        <is>
          <t>шт.</t>
        </is>
      </c>
      <c r="C34" s="4" t="n">
        <v>1</v>
      </c>
      <c r="D34" s="4" t="n">
        <v>60000</v>
      </c>
      <c r="E34" s="4" t="n">
        <v>95000</v>
      </c>
      <c r="F34" s="4">
        <f>C34*D34</f>
        <v/>
      </c>
      <c r="G34" s="4">
        <f>C34*E34</f>
        <v/>
      </c>
      <c r="H34" s="3" t="inlineStr"/>
    </row>
    <row r="35">
      <c r="A35" s="3" t="inlineStr">
        <is>
          <t>Конвектор внутрипольный естественный, L=2000</t>
        </is>
      </c>
      <c r="B35" s="3" t="inlineStr">
        <is>
          <t>шт.</t>
        </is>
      </c>
      <c r="C35" s="4" t="n">
        <v>1</v>
      </c>
      <c r="D35" s="4" t="n">
        <v>60000</v>
      </c>
      <c r="E35" s="4" t="n">
        <v>95000</v>
      </c>
      <c r="F35" s="4">
        <f>C35*D35</f>
        <v/>
      </c>
      <c r="G35" s="4">
        <f>C35*E35</f>
        <v/>
      </c>
      <c r="H35" s="3" t="inlineStr"/>
    </row>
    <row r="36">
      <c r="A36" s="3" t="inlineStr">
        <is>
          <t>Полотенцесушитель водяной 600 Вт</t>
        </is>
      </c>
      <c r="B36" s="3" t="inlineStr">
        <is>
          <t>шт.</t>
        </is>
      </c>
      <c r="C36" s="4" t="n">
        <v>1</v>
      </c>
      <c r="D36" s="4" t="n">
        <v>15000</v>
      </c>
      <c r="E36" s="4" t="n">
        <v>40000</v>
      </c>
      <c r="F36" s="4">
        <f>C36*D36</f>
        <v/>
      </c>
      <c r="G36" s="4">
        <f>C36*E36</f>
        <v/>
      </c>
      <c r="H36" s="3" t="inlineStr"/>
    </row>
    <row r="37">
      <c r="A37" s="3" t="inlineStr">
        <is>
          <t>Конвектор внутрипольный естественный, L=2000</t>
        </is>
      </c>
      <c r="B37" s="3" t="inlineStr">
        <is>
          <t>шт.</t>
        </is>
      </c>
      <c r="C37" s="4" t="n">
        <v>1</v>
      </c>
      <c r="D37" s="4" t="n">
        <v>60000</v>
      </c>
      <c r="E37" s="4" t="n">
        <v>95000</v>
      </c>
      <c r="F37" s="4">
        <f>C37*D37</f>
        <v/>
      </c>
      <c r="G37" s="4">
        <f>C37*E37</f>
        <v/>
      </c>
      <c r="H37" s="3" t="inlineStr"/>
    </row>
    <row r="38">
      <c r="A38" s="3" t="inlineStr">
        <is>
          <t>Конвектор внутрипольный естественный, L=2000</t>
        </is>
      </c>
      <c r="B38" s="3" t="inlineStr">
        <is>
          <t>шт.</t>
        </is>
      </c>
      <c r="C38" s="4" t="n">
        <v>2</v>
      </c>
      <c r="D38" s="4" t="n">
        <v>60000</v>
      </c>
      <c r="E38" s="4" t="n">
        <v>95000</v>
      </c>
      <c r="F38" s="4">
        <f>C38*D38</f>
        <v/>
      </c>
      <c r="G38" s="4">
        <f>C38*E38</f>
        <v/>
      </c>
      <c r="H38" s="3" t="inlineStr"/>
    </row>
    <row r="39">
      <c r="A39" s="3" t="inlineStr">
        <is>
          <t>Полотенцесушитель водяной 600 Вт</t>
        </is>
      </c>
      <c r="B39" s="3" t="inlineStr">
        <is>
          <t>шт.</t>
        </is>
      </c>
      <c r="C39" s="4" t="n">
        <v>1</v>
      </c>
      <c r="D39" s="4" t="n">
        <v>15000</v>
      </c>
      <c r="E39" s="4" t="n">
        <v>40000</v>
      </c>
      <c r="F39" s="4">
        <f>C39*D39</f>
        <v/>
      </c>
      <c r="G39" s="4">
        <f>C39*E39</f>
        <v/>
      </c>
      <c r="H39" s="3" t="inlineStr"/>
    </row>
    <row r="40">
      <c r="A40" s="3" t="inlineStr">
        <is>
          <t>Радиатор стальной панельный 22-500, Q≈410 Вт</t>
        </is>
      </c>
      <c r="B40" s="3" t="inlineStr">
        <is>
          <t>шт.</t>
        </is>
      </c>
      <c r="C40" s="4" t="n">
        <v>1</v>
      </c>
      <c r="D40" s="4" t="n">
        <v>6000</v>
      </c>
      <c r="E40" s="4" t="n">
        <v>12000</v>
      </c>
      <c r="F40" s="4">
        <f>C40*D40</f>
        <v/>
      </c>
      <c r="G40" s="4">
        <f>C40*E40</f>
        <v/>
      </c>
      <c r="H40" s="3" t="inlineStr"/>
    </row>
    <row r="41">
      <c r="A41" s="3" t="inlineStr">
        <is>
          <t>Труба PE-Xa/PE-RT 25…40 мм в изоляции 9 мм (магистрали, стояки)</t>
        </is>
      </c>
      <c r="B41" s="3" t="inlineStr">
        <is>
          <t>м</t>
        </is>
      </c>
      <c r="C41" s="4" t="n">
        <v>120</v>
      </c>
      <c r="D41" s="4" t="n">
        <v>450</v>
      </c>
      <c r="E41" s="4" t="n">
        <v>900</v>
      </c>
      <c r="F41" s="4">
        <f>C41*D41</f>
        <v/>
      </c>
      <c r="G41" s="4">
        <f>C41*E41</f>
        <v/>
      </c>
      <c r="H41" s="3" t="inlineStr"/>
    </row>
    <row r="42">
      <c r="A42" s="3" t="inlineStr">
        <is>
          <t>Блок питания 24 В для вентиляторных конвекторов</t>
        </is>
      </c>
      <c r="B42" s="3" t="inlineStr">
        <is>
          <t>шт.</t>
        </is>
      </c>
      <c r="C42" s="4" t="n">
        <v>2</v>
      </c>
      <c r="D42" s="4" t="n">
        <v>6000</v>
      </c>
      <c r="E42" s="4" t="n">
        <v>12000</v>
      </c>
      <c r="F42" s="4">
        <f>C42*D42</f>
        <v/>
      </c>
      <c r="G42" s="4">
        <f>C42*E42</f>
        <v/>
      </c>
      <c r="H42" s="3" t="inlineStr"/>
    </row>
    <row r="43">
      <c r="A43" s="3" t="inlineStr">
        <is>
          <t>Материалы и оборудование (этап 1)</t>
        </is>
      </c>
      <c r="B43" s="3" t="n"/>
      <c r="C43" s="4" t="n"/>
      <c r="D43" s="4" t="n"/>
      <c r="E43" s="4" t="n"/>
      <c r="F43" s="4">
        <f>SUMIF(H2:H42,"",F2:F42)</f>
        <v/>
      </c>
      <c r="G43" s="4">
        <f>SUMIF(H2:H42,"",G2:G42)</f>
        <v/>
      </c>
      <c r="H43" s="3" t="n"/>
    </row>
    <row r="44">
      <c r="A44" s="3" t="inlineStr">
        <is>
          <t>Монтажные работы</t>
        </is>
      </c>
      <c r="B44" s="3" t="n"/>
      <c r="C44" s="4" t="n"/>
      <c r="D44" s="4" t="n"/>
      <c r="E44" s="4" t="n"/>
      <c r="F44" s="4" t="n">
        <v>1260120</v>
      </c>
      <c r="G44" s="4" t="n">
        <v>1890180</v>
      </c>
      <c r="H44" s="3" t="inlineStr">
        <is>
          <t>оценка</t>
        </is>
      </c>
    </row>
    <row r="45">
      <c r="A45" s="3" t="inlineStr">
        <is>
          <t>Крепёж, расходники, доставка</t>
        </is>
      </c>
      <c r="B45" s="3" t="n"/>
      <c r="C45" s="4" t="n"/>
      <c r="D45" s="4" t="n"/>
      <c r="E45" s="4" t="n"/>
      <c r="F45" s="4" t="n">
        <v>210020</v>
      </c>
      <c r="G45" s="4" t="n">
        <v>336032</v>
      </c>
      <c r="H45" s="3" t="inlineStr">
        <is>
          <t>оценка</t>
        </is>
      </c>
    </row>
    <row r="46">
      <c r="A46" s="3" t="inlineStr">
        <is>
          <t>Пусконаладка котельной, гидравлическая балансировка тёплых полов</t>
        </is>
      </c>
      <c r="B46" s="3" t="n"/>
      <c r="C46" s="4" t="n"/>
      <c r="D46" s="4" t="n"/>
      <c r="E46" s="4" t="n"/>
      <c r="F46" s="4" t="n">
        <v>60000</v>
      </c>
      <c r="G46" s="4" t="n">
        <v>150000</v>
      </c>
      <c r="H46" s="3" t="inlineStr">
        <is>
          <t>оценка</t>
        </is>
      </c>
    </row>
    <row r="47">
      <c r="A47" s="5" t="inlineStr">
        <is>
          <t>ИТОГО этап 1</t>
        </is>
      </c>
      <c r="B47" s="5" t="n"/>
      <c r="C47" s="6" t="n"/>
      <c r="D47" s="6" t="n"/>
      <c r="E47" s="6" t="n"/>
      <c r="F47" s="6">
        <f>SUM(F43:F46)</f>
        <v/>
      </c>
      <c r="G47" s="6">
        <f>SUM(G43:G46)</f>
        <v/>
      </c>
      <c r="H47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</cols>
  <sheetData>
    <row r="1">
      <c r="A1" s="1" t="inlineStr">
        <is>
          <t>Позиция</t>
        </is>
      </c>
      <c r="B1" s="1" t="inlineStr">
        <is>
          <t>Ед.</t>
        </is>
      </c>
      <c r="C1" s="2" t="inlineStr">
        <is>
          <t>Кол-во</t>
        </is>
      </c>
      <c r="D1" s="2" t="inlineStr">
        <is>
          <t>Цена мин., ₽</t>
        </is>
      </c>
      <c r="E1" s="2" t="inlineStr">
        <is>
          <t>Цена макс., ₽</t>
        </is>
      </c>
      <c r="F1" s="2" t="inlineStr">
        <is>
          <t>Сумма мин., ₽</t>
        </is>
      </c>
      <c r="G1" s="2" t="inlineStr">
        <is>
          <t>Сумма макс., ₽</t>
        </is>
      </c>
      <c r="H1" s="1" t="inlineStr">
        <is>
          <t>Примечание</t>
        </is>
      </c>
    </row>
    <row r="2">
      <c r="A2" s="3" t="inlineStr">
        <is>
          <t>Кран шаровой Ду32, фильтр сетчатый Ду32, обратный клапан Ду32</t>
        </is>
      </c>
      <c r="B2" s="3" t="inlineStr">
        <is>
          <t>компл.</t>
        </is>
      </c>
      <c r="C2" s="4" t="n">
        <v>1</v>
      </c>
      <c r="D2" s="4" t="n">
        <v>6000</v>
      </c>
      <c r="E2" s="4" t="n">
        <v>12000</v>
      </c>
      <c r="F2" s="4">
        <f>C2*D2</f>
        <v/>
      </c>
      <c r="G2" s="4">
        <f>C2*E2</f>
        <v/>
      </c>
      <c r="H2" s="3" t="inlineStr"/>
    </row>
    <row r="3">
      <c r="A3" s="3" t="inlineStr">
        <is>
          <t>Счётчик холодной воды Ду20…25 с импульсным выходом (по ТУ)</t>
        </is>
      </c>
      <c r="B3" s="3" t="inlineStr">
        <is>
          <t>шт.</t>
        </is>
      </c>
      <c r="C3" s="4" t="n">
        <v>1</v>
      </c>
      <c r="D3" s="4" t="n">
        <v>3000</v>
      </c>
      <c r="E3" s="4" t="n">
        <v>8000</v>
      </c>
      <c r="F3" s="4">
        <f>C3*D3</f>
        <v/>
      </c>
      <c r="G3" s="4">
        <f>C3*E3</f>
        <v/>
      </c>
      <c r="H3" s="3" t="inlineStr"/>
    </row>
    <row r="4">
      <c r="A4" s="3" t="inlineStr">
        <is>
          <t>Редуктор давления Ду32 с манометром</t>
        </is>
      </c>
      <c r="B4" s="3" t="inlineStr">
        <is>
          <t>шт.</t>
        </is>
      </c>
      <c r="C4" s="4" t="n">
        <v>1</v>
      </c>
      <c r="D4" s="4" t="n">
        <v>6000</v>
      </c>
      <c r="E4" s="4" t="n">
        <v>15000</v>
      </c>
      <c r="F4" s="4">
        <f>C4*D4</f>
        <v/>
      </c>
      <c r="G4" s="4">
        <f>C4*E4</f>
        <v/>
      </c>
      <c r="H4" s="3" t="inlineStr"/>
    </row>
    <row r="5">
      <c r="A5" s="3" t="inlineStr">
        <is>
          <t>Фильтр тонкой очистки самопромывной Ду32</t>
        </is>
      </c>
      <c r="B5" s="3" t="inlineStr">
        <is>
          <t>шт.</t>
        </is>
      </c>
      <c r="C5" s="4" t="n">
        <v>1</v>
      </c>
      <c r="D5" s="4" t="n">
        <v>10000</v>
      </c>
      <c r="E5" s="4" t="n">
        <v>25000</v>
      </c>
      <c r="F5" s="4">
        <f>C5*D5</f>
        <v/>
      </c>
      <c r="G5" s="4">
        <f>C5*E5</f>
        <v/>
      </c>
      <c r="H5" s="3" t="inlineStr"/>
    </row>
    <row r="6">
      <c r="A6" s="3" t="inlineStr">
        <is>
          <t>Система защиты от протечек: контроллер, 3 крана с электроприводом, 12 датчиков</t>
        </is>
      </c>
      <c r="B6" s="3" t="inlineStr">
        <is>
          <t>компл.</t>
        </is>
      </c>
      <c r="C6" s="4" t="n">
        <v>1</v>
      </c>
      <c r="D6" s="4" t="n">
        <v>40000</v>
      </c>
      <c r="E6" s="4" t="n">
        <v>90000</v>
      </c>
      <c r="F6" s="4">
        <f>C6*D6</f>
        <v/>
      </c>
      <c r="G6" s="4">
        <f>C6*E6</f>
        <v/>
      </c>
      <c r="H6" s="3" t="inlineStr"/>
    </row>
    <row r="7">
      <c r="A7" s="3" t="inlineStr">
        <is>
          <t>Насосная станция повышения давления (при необходимости по замеру)</t>
        </is>
      </c>
      <c r="B7" s="3" t="inlineStr">
        <is>
          <t>компл.</t>
        </is>
      </c>
      <c r="C7" s="4" t="n">
        <v>1</v>
      </c>
      <c r="D7" s="4" t="n">
        <v>40000</v>
      </c>
      <c r="E7" s="4" t="n">
        <v>120000</v>
      </c>
      <c r="F7" s="4">
        <f>C7*D7</f>
        <v/>
      </c>
      <c r="G7" s="4">
        <f>C7*E7</f>
        <v/>
      </c>
      <c r="H7" s="3" t="inlineStr"/>
    </row>
    <row r="8">
      <c r="A8" s="3" t="inlineStr">
        <is>
          <t>Труба ПЭ100 SDR11 Ø32 (ввод, от фундамента до ВУ)</t>
        </is>
      </c>
      <c r="B8" s="3" t="inlineStr">
        <is>
          <t>м</t>
        </is>
      </c>
      <c r="C8" s="4" t="n">
        <v>5</v>
      </c>
      <c r="D8" s="4" t="n">
        <v>150</v>
      </c>
      <c r="E8" s="4" t="n">
        <v>300</v>
      </c>
      <c r="F8" s="4">
        <f>C8*D8</f>
        <v/>
      </c>
      <c r="G8" s="4">
        <f>C8*E8</f>
        <v/>
      </c>
      <c r="H8" s="3" t="inlineStr"/>
    </row>
    <row r="9">
      <c r="A9" s="3" t="inlineStr">
        <is>
          <t>Труба PE-Xa 25×3,5 / 32×4,4 в теплоизоляции (магистрали, стояки В1, Т3)</t>
        </is>
      </c>
      <c r="B9" s="3" t="inlineStr">
        <is>
          <t>м</t>
        </is>
      </c>
      <c r="C9" s="4" t="n">
        <v>140</v>
      </c>
      <c r="D9" s="4" t="n">
        <v>500</v>
      </c>
      <c r="E9" s="4" t="n">
        <v>900</v>
      </c>
      <c r="F9" s="4">
        <f>C9*D9</f>
        <v/>
      </c>
      <c r="G9" s="4">
        <f>C9*E9</f>
        <v/>
      </c>
      <c r="H9" s="3" t="inlineStr"/>
    </row>
    <row r="10">
      <c r="A10" s="3" t="inlineStr">
        <is>
          <t>Труба PE-Xa 16×2,2 / 20×2,8 в гофре (подводки, Т4)</t>
        </is>
      </c>
      <c r="B10" s="3" t="inlineStr">
        <is>
          <t>м</t>
        </is>
      </c>
      <c r="C10" s="4" t="n">
        <v>320</v>
      </c>
      <c r="D10" s="4" t="n">
        <v>200</v>
      </c>
      <c r="E10" s="4" t="n">
        <v>400</v>
      </c>
      <c r="F10" s="4">
        <f>C10*D10</f>
        <v/>
      </c>
      <c r="G10" s="4">
        <f>C10*E10</f>
        <v/>
      </c>
      <c r="H10" s="3" t="inlineStr"/>
    </row>
    <row r="11">
      <c r="A11" s="3" t="inlineStr">
        <is>
          <t>Коллекторы сантехнические с кранами на 3…6 выходов</t>
        </is>
      </c>
      <c r="B11" s="3" t="inlineStr">
        <is>
          <t>шт.</t>
        </is>
      </c>
      <c r="C11" s="4" t="n">
        <v>8</v>
      </c>
      <c r="D11" s="4" t="n">
        <v>6000</v>
      </c>
      <c r="E11" s="4" t="n">
        <v>15000</v>
      </c>
      <c r="F11" s="4">
        <f>C11*D11</f>
        <v/>
      </c>
      <c r="G11" s="4">
        <f>C11*E11</f>
        <v/>
      </c>
      <c r="H11" s="3" t="inlineStr"/>
    </row>
    <row r="12">
      <c r="A12" s="3" t="inlineStr">
        <is>
          <t>Клапан балансировочный термостатический Т4 Ду15</t>
        </is>
      </c>
      <c r="B12" s="3" t="inlineStr">
        <is>
          <t>шт.</t>
        </is>
      </c>
      <c r="C12" s="4" t="n">
        <v>2</v>
      </c>
      <c r="D12" s="4" t="n">
        <v>5000</v>
      </c>
      <c r="E12" s="4" t="n">
        <v>10000</v>
      </c>
      <c r="F12" s="4">
        <f>C12*D12</f>
        <v/>
      </c>
      <c r="G12" s="4">
        <f>C12*E12</f>
        <v/>
      </c>
      <c r="H12" s="3" t="inlineStr"/>
    </row>
    <row r="13">
      <c r="A13" s="3" t="inlineStr">
        <is>
          <t>Труба ПП малошумная Ø110 (стояки, выпуски)</t>
        </is>
      </c>
      <c r="B13" s="3" t="inlineStr">
        <is>
          <t>м</t>
        </is>
      </c>
      <c r="C13" s="4" t="n">
        <v>70</v>
      </c>
      <c r="D13" s="4" t="n">
        <v>700</v>
      </c>
      <c r="E13" s="4" t="n">
        <v>1300</v>
      </c>
      <c r="F13" s="4">
        <f>C13*D13</f>
        <v/>
      </c>
      <c r="G13" s="4">
        <f>C13*E13</f>
        <v/>
      </c>
      <c r="H13" s="3" t="inlineStr"/>
    </row>
    <row r="14">
      <c r="A14" s="3" t="inlineStr">
        <is>
          <t>Труба ПП малошумная Ø50 (отводы)</t>
        </is>
      </c>
      <c r="B14" s="3" t="inlineStr">
        <is>
          <t>м</t>
        </is>
      </c>
      <c r="C14" s="4" t="n">
        <v>90</v>
      </c>
      <c r="D14" s="4" t="n">
        <v>350</v>
      </c>
      <c r="E14" s="4" t="n">
        <v>650</v>
      </c>
      <c r="F14" s="4">
        <f>C14*D14</f>
        <v/>
      </c>
      <c r="G14" s="4">
        <f>C14*E14</f>
        <v/>
      </c>
      <c r="H14" s="3" t="inlineStr"/>
    </row>
    <row r="15">
      <c r="A15" s="3" t="inlineStr">
        <is>
          <t>Фасонные части ПП, ревизии, хомуты с компенсацией</t>
        </is>
      </c>
      <c r="B15" s="3" t="inlineStr">
        <is>
          <t>компл.</t>
        </is>
      </c>
      <c r="C15" s="4" t="n">
        <v>1</v>
      </c>
      <c r="D15" s="4" t="n">
        <v>60000</v>
      </c>
      <c r="E15" s="4" t="n">
        <v>120000</v>
      </c>
      <c r="F15" s="4">
        <f>C15*D15</f>
        <v/>
      </c>
      <c r="G15" s="4">
        <f>C15*E15</f>
        <v/>
      </c>
      <c r="H15" s="3" t="inlineStr"/>
    </row>
    <row r="16">
      <c r="A16" s="3" t="inlineStr">
        <is>
          <t>Противопожарные муфты Ø110</t>
        </is>
      </c>
      <c r="B16" s="3" t="inlineStr">
        <is>
          <t>шт.</t>
        </is>
      </c>
      <c r="C16" s="4" t="n">
        <v>8</v>
      </c>
      <c r="D16" s="4" t="n">
        <v>1500</v>
      </c>
      <c r="E16" s="4" t="n">
        <v>3500</v>
      </c>
      <c r="F16" s="4">
        <f>C16*D16</f>
        <v/>
      </c>
      <c r="G16" s="4">
        <f>C16*E16</f>
        <v/>
      </c>
      <c r="H16" s="3" t="inlineStr"/>
    </row>
    <row r="17">
      <c r="A17" s="3" t="inlineStr">
        <is>
          <t>Вакуумный клапан Ø110</t>
        </is>
      </c>
      <c r="B17" s="3" t="inlineStr">
        <is>
          <t>шт.</t>
        </is>
      </c>
      <c r="C17" s="4" t="n">
        <v>2</v>
      </c>
      <c r="D17" s="4" t="n">
        <v>3000</v>
      </c>
      <c r="E17" s="4" t="n">
        <v>7000</v>
      </c>
      <c r="F17" s="4">
        <f>C17*D17</f>
        <v/>
      </c>
      <c r="G17" s="4">
        <f>C17*E17</f>
        <v/>
      </c>
      <c r="H17" s="3" t="inlineStr"/>
    </row>
    <row r="18">
      <c r="A18" s="3" t="inlineStr">
        <is>
          <t>Проходной элемент вентиляции канализации Ø110 для фальцевой кровли</t>
        </is>
      </c>
      <c r="B18" s="3" t="inlineStr">
        <is>
          <t>компл.</t>
        </is>
      </c>
      <c r="C18" s="4" t="n">
        <v>2</v>
      </c>
      <c r="D18" s="4" t="n">
        <v>10000</v>
      </c>
      <c r="E18" s="4" t="n">
        <v>20000</v>
      </c>
      <c r="F18" s="4">
        <f>C18*D18</f>
        <v/>
      </c>
      <c r="G18" s="4">
        <f>C18*E18</f>
        <v/>
      </c>
      <c r="H18" s="3" t="inlineStr"/>
    </row>
    <row r="19">
      <c r="A19" s="3" t="inlineStr">
        <is>
          <t>Трап с сухим затвором Ø50/110</t>
        </is>
      </c>
      <c r="B19" s="3" t="inlineStr">
        <is>
          <t>шт.</t>
        </is>
      </c>
      <c r="C19" s="4" t="n">
        <v>3</v>
      </c>
      <c r="D19" s="4" t="n">
        <v>8000</v>
      </c>
      <c r="E19" s="4" t="n">
        <v>25000</v>
      </c>
      <c r="F19" s="4">
        <f>C19*D19</f>
        <v/>
      </c>
      <c r="G19" s="4">
        <f>C19*E19</f>
        <v/>
      </c>
      <c r="H19" s="3" t="inlineStr"/>
    </row>
    <row r="20">
      <c r="A20" s="3" t="inlineStr">
        <is>
          <t>Ванна</t>
        </is>
      </c>
      <c r="B20" s="3" t="inlineStr">
        <is>
          <t>шт.</t>
        </is>
      </c>
      <c r="C20" s="4" t="n">
        <v>4</v>
      </c>
      <c r="D20" s="4" t="n">
        <v>0</v>
      </c>
      <c r="E20" s="4" t="n">
        <v>0</v>
      </c>
      <c r="F20" s="4">
        <f>C20*D20</f>
        <v/>
      </c>
      <c r="G20" s="4">
        <f>C20*E20</f>
        <v/>
      </c>
      <c r="H20" s="3" t="inlineStr">
        <is>
          <t>поставка заказчика</t>
        </is>
      </c>
    </row>
    <row r="21">
      <c r="A21" s="3" t="inlineStr">
        <is>
          <t>Душ</t>
        </is>
      </c>
      <c r="B21" s="3" t="inlineStr">
        <is>
          <t>шт.</t>
        </is>
      </c>
      <c r="C21" s="4" t="n">
        <v>4</v>
      </c>
      <c r="D21" s="4" t="n">
        <v>0</v>
      </c>
      <c r="E21" s="4" t="n">
        <v>0</v>
      </c>
      <c r="F21" s="4">
        <f>C21*D21</f>
        <v/>
      </c>
      <c r="G21" s="4">
        <f>C21*E21</f>
        <v/>
      </c>
      <c r="H21" s="3" t="inlineStr">
        <is>
          <t>поставка заказчика</t>
        </is>
      </c>
    </row>
    <row r="22">
      <c r="A22" s="3" t="inlineStr">
        <is>
          <t>Мойка</t>
        </is>
      </c>
      <c r="B22" s="3" t="inlineStr">
        <is>
          <t>шт.</t>
        </is>
      </c>
      <c r="C22" s="4" t="n">
        <v>1</v>
      </c>
      <c r="D22" s="4" t="n">
        <v>0</v>
      </c>
      <c r="E22" s="4" t="n">
        <v>0</v>
      </c>
      <c r="F22" s="4">
        <f>C22*D22</f>
        <v/>
      </c>
      <c r="G22" s="4">
        <f>C22*E22</f>
        <v/>
      </c>
      <c r="H22" s="3" t="inlineStr">
        <is>
          <t>поставка заказчика</t>
        </is>
      </c>
    </row>
    <row r="23">
      <c r="A23" s="3" t="inlineStr">
        <is>
          <t>Мойка хоз.</t>
        </is>
      </c>
      <c r="B23" s="3" t="inlineStr">
        <is>
          <t>шт.</t>
        </is>
      </c>
      <c r="C23" s="4" t="n">
        <v>2</v>
      </c>
      <c r="D23" s="4" t="n">
        <v>0</v>
      </c>
      <c r="E23" s="4" t="n">
        <v>0</v>
      </c>
      <c r="F23" s="4">
        <f>C23*D23</f>
        <v/>
      </c>
      <c r="G23" s="4">
        <f>C23*E23</f>
        <v/>
      </c>
      <c r="H23" s="3" t="inlineStr">
        <is>
          <t>поставка заказчика</t>
        </is>
      </c>
    </row>
    <row r="24">
      <c r="A24" s="3" t="inlineStr">
        <is>
          <t>Посудомоечная машина</t>
        </is>
      </c>
      <c r="B24" s="3" t="inlineStr">
        <is>
          <t>шт.</t>
        </is>
      </c>
      <c r="C24" s="4" t="n">
        <v>1</v>
      </c>
      <c r="D24" s="4" t="n">
        <v>0</v>
      </c>
      <c r="E24" s="4" t="n">
        <v>0</v>
      </c>
      <c r="F24" s="4">
        <f>C24*D24</f>
        <v/>
      </c>
      <c r="G24" s="4">
        <f>C24*E24</f>
        <v/>
      </c>
      <c r="H24" s="3" t="inlineStr">
        <is>
          <t>поставка заказчика</t>
        </is>
      </c>
    </row>
    <row r="25">
      <c r="A25" s="3" t="inlineStr">
        <is>
          <t>Стиральная машина</t>
        </is>
      </c>
      <c r="B25" s="3" t="inlineStr">
        <is>
          <t>шт.</t>
        </is>
      </c>
      <c r="C25" s="4" t="n">
        <v>2</v>
      </c>
      <c r="D25" s="4" t="n">
        <v>0</v>
      </c>
      <c r="E25" s="4" t="n">
        <v>0</v>
      </c>
      <c r="F25" s="4">
        <f>C25*D25</f>
        <v/>
      </c>
      <c r="G25" s="4">
        <f>C25*E25</f>
        <v/>
      </c>
      <c r="H25" s="3" t="inlineStr">
        <is>
          <t>поставка заказчика</t>
        </is>
      </c>
    </row>
    <row r="26">
      <c r="A26" s="3" t="inlineStr">
        <is>
          <t>Умывальник</t>
        </is>
      </c>
      <c r="B26" s="3" t="inlineStr">
        <is>
          <t>шт.</t>
        </is>
      </c>
      <c r="C26" s="4" t="n">
        <v>7</v>
      </c>
      <c r="D26" s="4" t="n">
        <v>0</v>
      </c>
      <c r="E26" s="4" t="n">
        <v>0</v>
      </c>
      <c r="F26" s="4">
        <f>C26*D26</f>
        <v/>
      </c>
      <c r="G26" s="4">
        <f>C26*E26</f>
        <v/>
      </c>
      <c r="H26" s="3" t="inlineStr">
        <is>
          <t>поставка заказчика</t>
        </is>
      </c>
    </row>
    <row r="27">
      <c r="A27" s="3" t="inlineStr">
        <is>
          <t>Унитаз</t>
        </is>
      </c>
      <c r="B27" s="3" t="inlineStr">
        <is>
          <t>шт.</t>
        </is>
      </c>
      <c r="C27" s="4" t="n">
        <v>6</v>
      </c>
      <c r="D27" s="4" t="n">
        <v>0</v>
      </c>
      <c r="E27" s="4" t="n">
        <v>0</v>
      </c>
      <c r="F27" s="4">
        <f>C27*D27</f>
        <v/>
      </c>
      <c r="G27" s="4">
        <f>C27*E27</f>
        <v/>
      </c>
      <c r="H27" s="3" t="inlineStr">
        <is>
          <t>поставка заказчика</t>
        </is>
      </c>
    </row>
    <row r="28">
      <c r="A28" s="3" t="inlineStr">
        <is>
          <t>Инсталляции для подвесных унитазов</t>
        </is>
      </c>
      <c r="B28" s="3" t="inlineStr">
        <is>
          <t>шт.</t>
        </is>
      </c>
      <c r="C28" s="4" t="n">
        <v>6</v>
      </c>
      <c r="D28" s="4" t="n">
        <v>15000</v>
      </c>
      <c r="E28" s="4" t="n">
        <v>35000</v>
      </c>
      <c r="F28" s="4">
        <f>C28*D28</f>
        <v/>
      </c>
      <c r="G28" s="4">
        <f>C28*E28</f>
        <v/>
      </c>
      <c r="H28" s="3" t="inlineStr"/>
    </row>
    <row r="29">
      <c r="A29" s="3" t="inlineStr">
        <is>
          <t>Поливочный кран морозостойкий</t>
        </is>
      </c>
      <c r="B29" s="3" t="inlineStr">
        <is>
          <t>шт.</t>
        </is>
      </c>
      <c r="C29" s="4" t="n">
        <v>1</v>
      </c>
      <c r="D29" s="4" t="n">
        <v>6000</v>
      </c>
      <c r="E29" s="4" t="n">
        <v>15000</v>
      </c>
      <c r="F29" s="4">
        <f>C29*D29</f>
        <v/>
      </c>
      <c r="G29" s="4">
        <f>C29*E29</f>
        <v/>
      </c>
      <c r="H29" s="3" t="inlineStr"/>
    </row>
    <row r="30">
      <c r="A30" s="3" t="inlineStr">
        <is>
          <t>Материалы и оборудование (этап 1)</t>
        </is>
      </c>
      <c r="B30" s="3" t="n"/>
      <c r="C30" s="4" t="n"/>
      <c r="D30" s="4" t="n"/>
      <c r="E30" s="4" t="n"/>
      <c r="F30" s="4">
        <f>SUMIF(H2:H29,"",F2:F29)</f>
        <v/>
      </c>
      <c r="G30" s="4">
        <f>SUMIF(H2:H29,"",G2:G29)</f>
        <v/>
      </c>
      <c r="H30" s="3" t="n"/>
    </row>
    <row r="31">
      <c r="A31" s="3" t="inlineStr">
        <is>
          <t>Монтажные работы</t>
        </is>
      </c>
      <c r="B31" s="3" t="n"/>
      <c r="C31" s="4" t="n"/>
      <c r="D31" s="4" t="n"/>
      <c r="E31" s="4" t="n"/>
      <c r="F31" s="4" t="n">
        <v>268312</v>
      </c>
      <c r="G31" s="4" t="n">
        <v>357750</v>
      </c>
      <c r="H31" s="3" t="inlineStr">
        <is>
          <t>оценка</t>
        </is>
      </c>
    </row>
    <row r="32">
      <c r="A32" s="3" t="inlineStr">
        <is>
          <t>Крепёж, расходники, доставка</t>
        </is>
      </c>
      <c r="B32" s="3" t="n"/>
      <c r="C32" s="4" t="n"/>
      <c r="D32" s="4" t="n"/>
      <c r="E32" s="4" t="n"/>
      <c r="F32" s="4" t="n">
        <v>35775</v>
      </c>
      <c r="G32" s="4" t="n">
        <v>59625</v>
      </c>
      <c r="H32" s="3" t="inlineStr">
        <is>
          <t>оценка</t>
        </is>
      </c>
    </row>
    <row r="33">
      <c r="A33" s="3" t="inlineStr">
        <is>
          <t>Установка сантехприборов заказчика (27 шт.)</t>
        </is>
      </c>
      <c r="B33" s="3" t="n"/>
      <c r="C33" s="4" t="n"/>
      <c r="D33" s="4" t="n"/>
      <c r="E33" s="4" t="n"/>
      <c r="F33" s="4" t="n">
        <v>108000</v>
      </c>
      <c r="G33" s="4" t="n">
        <v>270000</v>
      </c>
      <c r="H33" s="3" t="inlineStr">
        <is>
          <t>оценка</t>
        </is>
      </c>
    </row>
    <row r="34">
      <c r="A34" s="3" t="inlineStr">
        <is>
          <t>Гидравлические испытания, промывка, акты</t>
        </is>
      </c>
      <c r="B34" s="3" t="n"/>
      <c r="C34" s="4" t="n"/>
      <c r="D34" s="4" t="n"/>
      <c r="E34" s="4" t="n"/>
      <c r="F34" s="4" t="n">
        <v>20000</v>
      </c>
      <c r="G34" s="4" t="n">
        <v>50000</v>
      </c>
      <c r="H34" s="3" t="inlineStr">
        <is>
          <t>оценка</t>
        </is>
      </c>
    </row>
    <row r="35">
      <c r="A35" s="5" t="inlineStr">
        <is>
          <t>ИТОГО этап 1</t>
        </is>
      </c>
      <c r="B35" s="5" t="n"/>
      <c r="C35" s="6" t="n"/>
      <c r="D35" s="6" t="n"/>
      <c r="E35" s="6" t="n"/>
      <c r="F35" s="6">
        <f>SUM(F30:F34)</f>
        <v/>
      </c>
      <c r="G35" s="6">
        <f>SUM(G30:G34)</f>
        <v/>
      </c>
      <c r="H3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</cols>
  <sheetData>
    <row r="1">
      <c r="A1" s="1" t="inlineStr">
        <is>
          <t>Позиция</t>
        </is>
      </c>
      <c r="B1" s="1" t="inlineStr">
        <is>
          <t>Ед.</t>
        </is>
      </c>
      <c r="C1" s="2" t="inlineStr">
        <is>
          <t>Кол-во</t>
        </is>
      </c>
      <c r="D1" s="2" t="inlineStr">
        <is>
          <t>Цена мин., ₽</t>
        </is>
      </c>
      <c r="E1" s="2" t="inlineStr">
        <is>
          <t>Цена макс., ₽</t>
        </is>
      </c>
      <c r="F1" s="2" t="inlineStr">
        <is>
          <t>Сумма мин., ₽</t>
        </is>
      </c>
      <c r="G1" s="2" t="inlineStr">
        <is>
          <t>Сумма макс., ₽</t>
        </is>
      </c>
      <c r="H1" s="1" t="inlineStr">
        <is>
          <t>Примечание</t>
        </is>
      </c>
    </row>
    <row r="2">
      <c r="A2" s="3" t="inlineStr">
        <is>
          <t>Шкаф учёта уличный с QF C80 3P и счётчиком 3ф (по ТУ)</t>
        </is>
      </c>
      <c r="B2" s="3" t="inlineStr">
        <is>
          <t>компл.</t>
        </is>
      </c>
      <c r="C2" s="4" t="n">
        <v>1</v>
      </c>
      <c r="D2" s="4" t="n">
        <v>40000</v>
      </c>
      <c r="E2" s="4" t="n">
        <v>90000</v>
      </c>
      <c r="F2" s="4">
        <f>C2*D2</f>
        <v/>
      </c>
      <c r="G2" s="4">
        <f>C2*E2</f>
        <v/>
      </c>
      <c r="H2" s="3" t="inlineStr"/>
    </row>
    <row r="3">
      <c r="A3" s="3" t="inlineStr">
        <is>
          <t>Щит распределительный навесной 72 мод.: QS 100 A, QF C80 3P, УЗИП I+II, реле приоритета, шины N/PE, автоматы отходящих линий</t>
        </is>
      </c>
      <c r="B3" s="3" t="inlineStr">
        <is>
          <t>компл.</t>
        </is>
      </c>
      <c r="C3" s="4" t="n">
        <v>1</v>
      </c>
      <c r="D3" s="4" t="n">
        <v>180000</v>
      </c>
      <c r="E3" s="4" t="n">
        <v>400000</v>
      </c>
      <c r="F3" s="4">
        <f>C3*D3</f>
        <v/>
      </c>
      <c r="G3" s="4">
        <f>C3*E3</f>
        <v/>
      </c>
      <c r="H3" s="3" t="inlineStr"/>
    </row>
    <row r="4">
      <c r="A4" s="3" t="inlineStr">
        <is>
          <t>Щит распределительный встраиваемый 72/48 мод. с автоматами и УЗО по схемам</t>
        </is>
      </c>
      <c r="B4" s="3" t="inlineStr">
        <is>
          <t>компл.</t>
        </is>
      </c>
      <c r="C4" s="4" t="n">
        <v>2</v>
      </c>
      <c r="D4" s="4" t="n">
        <v>120000</v>
      </c>
      <c r="E4" s="4" t="n">
        <v>280000</v>
      </c>
      <c r="F4" s="4">
        <f>C4*D4</f>
        <v/>
      </c>
      <c r="G4" s="4">
        <f>C4*E4</f>
        <v/>
      </c>
      <c r="H4" s="3" t="inlineStr"/>
    </row>
    <row r="5">
      <c r="A5" s="3" t="inlineStr">
        <is>
          <t>Щит навесной 36/24 мод. с автоматами по схемам</t>
        </is>
      </c>
      <c r="B5" s="3" t="inlineStr">
        <is>
          <t>компл.</t>
        </is>
      </c>
      <c r="C5" s="4" t="n">
        <v>2</v>
      </c>
      <c r="D5" s="4" t="n">
        <v>50000</v>
      </c>
      <c r="E5" s="4" t="n">
        <v>120000</v>
      </c>
      <c r="F5" s="4">
        <f>C5*D5</f>
        <v/>
      </c>
      <c r="G5" s="4">
        <f>C5*E5</f>
        <v/>
      </c>
      <c r="H5" s="3" t="inlineStr"/>
    </row>
    <row r="6">
      <c r="A6" s="3" t="inlineStr">
        <is>
          <t>Щит уличный IP65 12 мод., УЗО, автоматы, реле времени/фотореле</t>
        </is>
      </c>
      <c r="B6" s="3" t="inlineStr">
        <is>
          <t>компл.</t>
        </is>
      </c>
      <c r="C6" s="4" t="n">
        <v>1</v>
      </c>
      <c r="D6" s="4" t="n">
        <v>30000</v>
      </c>
      <c r="E6" s="4" t="n">
        <v>70000</v>
      </c>
      <c r="F6" s="4">
        <f>C6*D6</f>
        <v/>
      </c>
      <c r="G6" s="4">
        <f>C6*E6</f>
        <v/>
      </c>
      <c r="H6" s="3" t="inlineStr"/>
    </row>
    <row r="7">
      <c r="A7" s="3" t="inlineStr">
        <is>
          <t>Кабель ВВГнг(А)-LS 3×1,5</t>
        </is>
      </c>
      <c r="B7" s="3" t="inlineStr">
        <is>
          <t>м</t>
        </is>
      </c>
      <c r="C7" s="4" t="n">
        <v>900</v>
      </c>
      <c r="D7" s="4" t="n">
        <v>70</v>
      </c>
      <c r="E7" s="4" t="n">
        <v>110</v>
      </c>
      <c r="F7" s="4">
        <f>C7*D7</f>
        <v/>
      </c>
      <c r="G7" s="4">
        <f>C7*E7</f>
        <v/>
      </c>
      <c r="H7" s="3" t="inlineStr"/>
    </row>
    <row r="8">
      <c r="A8" s="3" t="inlineStr">
        <is>
          <t>Кабель ВВГнг(А)-LS 3×2,5</t>
        </is>
      </c>
      <c r="B8" s="3" t="inlineStr">
        <is>
          <t>м</t>
        </is>
      </c>
      <c r="C8" s="4" t="n">
        <v>1100</v>
      </c>
      <c r="D8" s="4" t="n">
        <v>100</v>
      </c>
      <c r="E8" s="4" t="n">
        <v>160</v>
      </c>
      <c r="F8" s="4">
        <f>C8*D8</f>
        <v/>
      </c>
      <c r="G8" s="4">
        <f>C8*E8</f>
        <v/>
      </c>
      <c r="H8" s="3" t="inlineStr"/>
    </row>
    <row r="9">
      <c r="A9" s="3" t="inlineStr">
        <is>
          <t>Кабель ВВГнг(А)-LS 3×4 / 3×10</t>
        </is>
      </c>
      <c r="B9" s="3" t="inlineStr">
        <is>
          <t>м</t>
        </is>
      </c>
      <c r="C9" s="4" t="n">
        <v>40</v>
      </c>
      <c r="D9" s="4" t="n">
        <v>200</v>
      </c>
      <c r="E9" s="4" t="n">
        <v>500</v>
      </c>
      <c r="F9" s="4">
        <f>C9*D9</f>
        <v/>
      </c>
      <c r="G9" s="4">
        <f>C9*E9</f>
        <v/>
      </c>
      <c r="H9" s="3" t="inlineStr"/>
    </row>
    <row r="10">
      <c r="A10" s="3" t="inlineStr">
        <is>
          <t>Кабель ВВГнг(А)-LS 5×2,5 / 5×4 / 5×6</t>
        </is>
      </c>
      <c r="B10" s="3" t="inlineStr">
        <is>
          <t>м</t>
        </is>
      </c>
      <c r="C10" s="4" t="n">
        <v>180</v>
      </c>
      <c r="D10" s="4" t="n">
        <v>250</v>
      </c>
      <c r="E10" s="4" t="n">
        <v>600</v>
      </c>
      <c r="F10" s="4">
        <f>C10*D10</f>
        <v/>
      </c>
      <c r="G10" s="4">
        <f>C10*E10</f>
        <v/>
      </c>
      <c r="H10" s="3" t="inlineStr"/>
    </row>
    <row r="11">
      <c r="A11" s="3" t="inlineStr">
        <is>
          <t>Кабель ВВГнг(А)-LS 5×10 / 5×16</t>
        </is>
      </c>
      <c r="B11" s="3" t="inlineStr">
        <is>
          <t>м</t>
        </is>
      </c>
      <c r="C11" s="4" t="n">
        <v>70</v>
      </c>
      <c r="D11" s="4" t="n">
        <v>700</v>
      </c>
      <c r="E11" s="4" t="n">
        <v>1300</v>
      </c>
      <c r="F11" s="4">
        <f>C11*D11</f>
        <v/>
      </c>
      <c r="G11" s="4">
        <f>C11*E11</f>
        <v/>
      </c>
      <c r="H11" s="3" t="inlineStr"/>
    </row>
    <row r="12">
      <c r="A12" s="3" t="inlineStr">
        <is>
          <t>Кабель ввода АВБбШв 4×35 (или ВБбШв 5×16)</t>
        </is>
      </c>
      <c r="B12" s="3" t="inlineStr">
        <is>
          <t>м</t>
        </is>
      </c>
      <c r="C12" s="4" t="n">
        <v>40</v>
      </c>
      <c r="D12" s="4" t="n">
        <v>600</v>
      </c>
      <c r="E12" s="4" t="n">
        <v>1100</v>
      </c>
      <c r="F12" s="4">
        <f>C12*D12</f>
        <v/>
      </c>
      <c r="G12" s="4">
        <f>C12*E12</f>
        <v/>
      </c>
      <c r="H12" s="3" t="inlineStr"/>
    </row>
    <row r="13">
      <c r="A13" s="3" t="inlineStr">
        <is>
          <t>Труба стальная тонкостенная / металлорукав РЗ-ЦХ Ø16…32 с фитингами</t>
        </is>
      </c>
      <c r="B13" s="3" t="inlineStr">
        <is>
          <t>м</t>
        </is>
      </c>
      <c r="C13" s="4" t="n">
        <v>1600</v>
      </c>
      <c r="D13" s="4" t="n">
        <v>150</v>
      </c>
      <c r="E13" s="4" t="n">
        <v>400</v>
      </c>
      <c r="F13" s="4">
        <f>C13*D13</f>
        <v/>
      </c>
      <c r="G13" s="4">
        <f>C13*E13</f>
        <v/>
      </c>
      <c r="H13" s="3" t="inlineStr"/>
    </row>
    <row r="14">
      <c r="A14" s="3" t="inlineStr">
        <is>
          <t>Коробки монтажные металлические / огнестойкие</t>
        </is>
      </c>
      <c r="B14" s="3" t="inlineStr">
        <is>
          <t>шт.</t>
        </is>
      </c>
      <c r="C14" s="4" t="n">
        <v>157</v>
      </c>
      <c r="D14" s="4" t="n">
        <v>300</v>
      </c>
      <c r="E14" s="4" t="n">
        <v>800</v>
      </c>
      <c r="F14" s="4">
        <f>C14*D14</f>
        <v/>
      </c>
      <c r="G14" s="4">
        <f>C14*E14</f>
        <v/>
      </c>
      <c r="H14" s="3" t="inlineStr"/>
    </row>
    <row r="15">
      <c r="A15" s="3" t="inlineStr">
        <is>
          <t>Розетка 16 А с заземлением (IP20 / IP44 в С/У)</t>
        </is>
      </c>
      <c r="B15" s="3" t="inlineStr">
        <is>
          <t>шт.</t>
        </is>
      </c>
      <c r="C15" s="4" t="n">
        <v>97</v>
      </c>
      <c r="D15" s="4" t="n">
        <v>800</v>
      </c>
      <c r="E15" s="4" t="n">
        <v>3500</v>
      </c>
      <c r="F15" s="4">
        <f>C15*D15</f>
        <v/>
      </c>
      <c r="G15" s="4">
        <f>C15*E15</f>
        <v/>
      </c>
      <c r="H15" s="3" t="inlineStr"/>
    </row>
    <row r="16">
      <c r="A16" s="3" t="inlineStr">
        <is>
          <t>Розетка наружная IP54</t>
        </is>
      </c>
      <c r="B16" s="3" t="inlineStr">
        <is>
          <t>шт.</t>
        </is>
      </c>
      <c r="C16" s="4" t="n">
        <v>4</v>
      </c>
      <c r="D16" s="4" t="n">
        <v>1500</v>
      </c>
      <c r="E16" s="4" t="n">
        <v>4000</v>
      </c>
      <c r="F16" s="4">
        <f>C16*D16</f>
        <v/>
      </c>
      <c r="G16" s="4">
        <f>C16*E16</f>
        <v/>
      </c>
      <c r="H16" s="3" t="inlineStr"/>
    </row>
    <row r="17">
      <c r="A17" s="3" t="inlineStr">
        <is>
          <t>Выключатель 1–2 клавиши / проходной</t>
        </is>
      </c>
      <c r="B17" s="3" t="inlineStr">
        <is>
          <t>шт.</t>
        </is>
      </c>
      <c r="C17" s="4" t="n">
        <v>40</v>
      </c>
      <c r="D17" s="4" t="n">
        <v>900</v>
      </c>
      <c r="E17" s="4" t="n">
        <v>4000</v>
      </c>
      <c r="F17" s="4">
        <f>C17*D17</f>
        <v/>
      </c>
      <c r="G17" s="4">
        <f>C17*E17</f>
        <v/>
      </c>
      <c r="H17" s="3" t="inlineStr"/>
    </row>
    <row r="18">
      <c r="A18" s="3" t="inlineStr">
        <is>
          <t>Светильник LED 15 Вт ≈ 1500 лм (тип по дизайн-проекту)</t>
        </is>
      </c>
      <c r="B18" s="3" t="inlineStr">
        <is>
          <t>шт.</t>
        </is>
      </c>
      <c r="C18" s="4" t="n">
        <v>107</v>
      </c>
      <c r="D18" s="4" t="n">
        <v>2500</v>
      </c>
      <c r="E18" s="4" t="n">
        <v>12000</v>
      </c>
      <c r="F18" s="4">
        <f>C18*D18</f>
        <v/>
      </c>
      <c r="G18" s="4">
        <f>C18*E18</f>
        <v/>
      </c>
      <c r="H18" s="3" t="inlineStr"/>
    </row>
    <row r="19">
      <c r="A19" s="3" t="inlineStr">
        <is>
          <t>Светильник наружный фасадный IP65</t>
        </is>
      </c>
      <c r="B19" s="3" t="inlineStr">
        <is>
          <t>шт.</t>
        </is>
      </c>
      <c r="C19" s="4" t="n">
        <v>8</v>
      </c>
      <c r="D19" s="4" t="n">
        <v>4000</v>
      </c>
      <c r="E19" s="4" t="n">
        <v>15000</v>
      </c>
      <c r="F19" s="4">
        <f>C19*D19</f>
        <v/>
      </c>
      <c r="G19" s="4">
        <f>C19*E19</f>
        <v/>
      </c>
      <c r="H19" s="3" t="inlineStr"/>
    </row>
    <row r="20">
      <c r="A20" s="3" t="inlineStr">
        <is>
          <t>Светильник для сауны +125 °C IP54</t>
        </is>
      </c>
      <c r="B20" s="3" t="inlineStr">
        <is>
          <t>шт.</t>
        </is>
      </c>
      <c r="C20" s="4" t="n">
        <v>2</v>
      </c>
      <c r="D20" s="4" t="n">
        <v>5000</v>
      </c>
      <c r="E20" s="4" t="n">
        <v>12000</v>
      </c>
      <c r="F20" s="4">
        <f>C20*D20</f>
        <v/>
      </c>
      <c r="G20" s="4">
        <f>C20*E20</f>
        <v/>
      </c>
      <c r="H20" s="3" t="inlineStr"/>
    </row>
    <row r="21">
      <c r="A21" s="3" t="inlineStr">
        <is>
          <t>Освещение и розетка чердака, светильник IP54</t>
        </is>
      </c>
      <c r="B21" s="3" t="inlineStr">
        <is>
          <t>компл.</t>
        </is>
      </c>
      <c r="C21" s="4" t="n">
        <v>1</v>
      </c>
      <c r="D21" s="4" t="n">
        <v>5000</v>
      </c>
      <c r="E21" s="4" t="n">
        <v>12000</v>
      </c>
      <c r="F21" s="4">
        <f>C21*D21</f>
        <v/>
      </c>
      <c r="G21" s="4">
        <f>C21*E21</f>
        <v/>
      </c>
      <c r="H21" s="3" t="inlineStr"/>
    </row>
    <row r="22">
      <c r="A22" s="3" t="inlineStr">
        <is>
          <t>Материалы и оборудование (этап 1)</t>
        </is>
      </c>
      <c r="B22" s="3" t="n"/>
      <c r="C22" s="4" t="n"/>
      <c r="D22" s="4" t="n"/>
      <c r="E22" s="4" t="n"/>
      <c r="F22" s="4">
        <f>SUMIF(H2:H21,"",F2:F21)</f>
        <v/>
      </c>
      <c r="G22" s="4">
        <f>SUMIF(H2:H21,"",G2:G21)</f>
        <v/>
      </c>
      <c r="H22" s="3" t="n"/>
    </row>
    <row r="23">
      <c r="A23" s="3" t="inlineStr">
        <is>
          <t>Монтажные работы</t>
        </is>
      </c>
      <c r="B23" s="3" t="n"/>
      <c r="C23" s="4" t="n"/>
      <c r="D23" s="4" t="n"/>
      <c r="E23" s="4" t="n"/>
      <c r="F23" s="4" t="n">
        <v>885610</v>
      </c>
      <c r="G23" s="4" t="n">
        <v>1368670</v>
      </c>
      <c r="H23" s="3" t="inlineStr">
        <is>
          <t>оценка</t>
        </is>
      </c>
    </row>
    <row r="24">
      <c r="A24" s="3" t="inlineStr">
        <is>
          <t>Крепёж, расходники, доставка</t>
        </is>
      </c>
      <c r="B24" s="3" t="n"/>
      <c r="C24" s="4" t="n"/>
      <c r="D24" s="4" t="n"/>
      <c r="E24" s="4" t="n"/>
      <c r="F24" s="4" t="n">
        <v>80510</v>
      </c>
      <c r="G24" s="4" t="n">
        <v>128816</v>
      </c>
      <c r="H24" s="3" t="inlineStr">
        <is>
          <t>оценка</t>
        </is>
      </c>
    </row>
    <row r="25">
      <c r="A25" s="3" t="inlineStr">
        <is>
          <t>Электроизмерительная лаборатория, протоколы, техотчёт</t>
        </is>
      </c>
      <c r="B25" s="3" t="n"/>
      <c r="C25" s="4" t="n"/>
      <c r="D25" s="4" t="n"/>
      <c r="E25" s="4" t="n"/>
      <c r="F25" s="4" t="n">
        <v>40000</v>
      </c>
      <c r="G25" s="4" t="n">
        <v>90000</v>
      </c>
      <c r="H25" s="3" t="inlineStr">
        <is>
          <t>оценка</t>
        </is>
      </c>
    </row>
    <row r="26">
      <c r="A26" s="5" t="inlineStr">
        <is>
          <t>ИТОГО этап 1</t>
        </is>
      </c>
      <c r="B26" s="5" t="n"/>
      <c r="C26" s="6" t="n"/>
      <c r="D26" s="6" t="n"/>
      <c r="E26" s="6" t="n"/>
      <c r="F26" s="6">
        <f>SUM(F22:F25)</f>
        <v/>
      </c>
      <c r="G26" s="6">
        <f>SUM(G22:G25)</f>
        <v/>
      </c>
      <c r="H26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</cols>
  <sheetData>
    <row r="1">
      <c r="A1" s="1" t="inlineStr">
        <is>
          <t>Позиция</t>
        </is>
      </c>
      <c r="B1" s="1" t="inlineStr">
        <is>
          <t>Ед.</t>
        </is>
      </c>
      <c r="C1" s="2" t="inlineStr">
        <is>
          <t>Кол-во</t>
        </is>
      </c>
      <c r="D1" s="2" t="inlineStr">
        <is>
          <t>Цена мин., ₽</t>
        </is>
      </c>
      <c r="E1" s="2" t="inlineStr">
        <is>
          <t>Цена макс., ₽</t>
        </is>
      </c>
      <c r="F1" s="2" t="inlineStr">
        <is>
          <t>Сумма мин., ₽</t>
        </is>
      </c>
      <c r="G1" s="2" t="inlineStr">
        <is>
          <t>Сумма макс., ₽</t>
        </is>
      </c>
      <c r="H1" s="1" t="inlineStr">
        <is>
          <t>Примечание</t>
        </is>
      </c>
    </row>
    <row r="2">
      <c r="A2" s="3" t="inlineStr">
        <is>
          <t>Шкаф 19" 12U настенный с вентиляцией и полками</t>
        </is>
      </c>
      <c r="B2" s="3" t="inlineStr">
        <is>
          <t>шт.</t>
        </is>
      </c>
      <c r="C2" s="4" t="n">
        <v>1</v>
      </c>
      <c r="D2" s="4" t="n">
        <v>15000</v>
      </c>
      <c r="E2" s="4" t="n">
        <v>35000</v>
      </c>
      <c r="F2" s="4">
        <f>C2*D2</f>
        <v/>
      </c>
      <c r="G2" s="4">
        <f>C2*E2</f>
        <v/>
      </c>
      <c r="H2" s="3" t="inlineStr"/>
    </row>
    <row r="3">
      <c r="A3" s="3" t="inlineStr">
        <is>
          <t>Оптический терминал провайдера (ОНТ)</t>
        </is>
      </c>
      <c r="B3" s="3" t="inlineStr">
        <is>
          <t>шт.</t>
        </is>
      </c>
      <c r="C3" s="4" t="n">
        <v>1</v>
      </c>
      <c r="D3" s="4" t="n">
        <v>0</v>
      </c>
      <c r="E3" s="4" t="n">
        <v>5000</v>
      </c>
      <c r="F3" s="4">
        <f>C3*D3</f>
        <v/>
      </c>
      <c r="G3" s="4">
        <f>C3*E3</f>
        <v/>
      </c>
      <c r="H3" s="3" t="inlineStr"/>
    </row>
    <row r="4">
      <c r="A4" s="3" t="inlineStr">
        <is>
          <t>Маршрутизатор с поддержкой резервного LTE-канала</t>
        </is>
      </c>
      <c r="B4" s="3" t="inlineStr">
        <is>
          <t>шт.</t>
        </is>
      </c>
      <c r="C4" s="4" t="n">
        <v>1</v>
      </c>
      <c r="D4" s="4" t="n">
        <v>15000</v>
      </c>
      <c r="E4" s="4" t="n">
        <v>40000</v>
      </c>
      <c r="F4" s="4">
        <f>C4*D4</f>
        <v/>
      </c>
      <c r="G4" s="4">
        <f>C4*E4</f>
        <v/>
      </c>
      <c r="H4" s="3" t="inlineStr"/>
    </row>
    <row r="5">
      <c r="A5" s="3" t="inlineStr">
        <is>
          <t>Коммутатор PoE+ 24 порта, управляемый</t>
        </is>
      </c>
      <c r="B5" s="3" t="inlineStr">
        <is>
          <t>шт.</t>
        </is>
      </c>
      <c r="C5" s="4" t="n">
        <v>1</v>
      </c>
      <c r="D5" s="4" t="n">
        <v>35000</v>
      </c>
      <c r="E5" s="4" t="n">
        <v>90000</v>
      </c>
      <c r="F5" s="4">
        <f>C5*D5</f>
        <v/>
      </c>
      <c r="G5" s="4">
        <f>C5*E5</f>
        <v/>
      </c>
      <c r="H5" s="3" t="inlineStr"/>
    </row>
    <row r="6">
      <c r="A6" s="3" t="inlineStr">
        <is>
          <t>Видеорегистратор (NVR) 16 каналов, HDD 2×4 ТБ</t>
        </is>
      </c>
      <c r="B6" s="3" t="inlineStr">
        <is>
          <t>компл.</t>
        </is>
      </c>
      <c r="C6" s="4" t="n">
        <v>1</v>
      </c>
      <c r="D6" s="4" t="n">
        <v>35000</v>
      </c>
      <c r="E6" s="4" t="n">
        <v>80000</v>
      </c>
      <c r="F6" s="4">
        <f>C6*D6</f>
        <v/>
      </c>
      <c r="G6" s="4">
        <f>C6*E6</f>
        <v/>
      </c>
      <c r="H6" s="3" t="inlineStr"/>
    </row>
    <row r="7">
      <c r="A7" s="3" t="inlineStr">
        <is>
          <t>Контроллер «умного дома» с модулями Modbus/KNX, шлюз VRF</t>
        </is>
      </c>
      <c r="B7" s="3" t="inlineStr">
        <is>
          <t>компл.</t>
        </is>
      </c>
      <c r="C7" s="4" t="n">
        <v>1</v>
      </c>
      <c r="D7" s="4" t="n">
        <v>80000</v>
      </c>
      <c r="E7" s="4" t="n">
        <v>300000</v>
      </c>
      <c r="F7" s="4">
        <f>C7*D7</f>
        <v/>
      </c>
      <c r="G7" s="4">
        <f>C7*E7</f>
        <v/>
      </c>
      <c r="H7" s="3" t="inlineStr"/>
    </row>
    <row r="8">
      <c r="A8" s="3" t="inlineStr">
        <is>
          <t>ИБП 1 кВА онлайн</t>
        </is>
      </c>
      <c r="B8" s="3" t="inlineStr">
        <is>
          <t>шт.</t>
        </is>
      </c>
      <c r="C8" s="4" t="n">
        <v>1</v>
      </c>
      <c r="D8" s="4" t="n">
        <v>25000</v>
      </c>
      <c r="E8" s="4" t="n">
        <v>60000</v>
      </c>
      <c r="F8" s="4">
        <f>C8*D8</f>
        <v/>
      </c>
      <c r="G8" s="4">
        <f>C8*E8</f>
        <v/>
      </c>
      <c r="H8" s="3" t="inlineStr"/>
    </row>
    <row r="9">
      <c r="A9" s="3" t="inlineStr">
        <is>
          <t>Точка доступа Wi-Fi 6/7 потолочная, PoE</t>
        </is>
      </c>
      <c r="B9" s="3" t="inlineStr">
        <is>
          <t>шт.</t>
        </is>
      </c>
      <c r="C9" s="4" t="n">
        <v>10</v>
      </c>
      <c r="D9" s="4" t="n">
        <v>12000</v>
      </c>
      <c r="E9" s="4" t="n">
        <v>35000</v>
      </c>
      <c r="F9" s="4">
        <f>C9*D9</f>
        <v/>
      </c>
      <c r="G9" s="4">
        <f>C9*E9</f>
        <v/>
      </c>
      <c r="H9" s="3" t="inlineStr"/>
    </row>
    <row r="10">
      <c r="A10" s="3" t="inlineStr">
        <is>
          <t>IP-камера 4 Мп уличная, ИК 30 м, PoE</t>
        </is>
      </c>
      <c r="B10" s="3" t="inlineStr">
        <is>
          <t>шт.</t>
        </is>
      </c>
      <c r="C10" s="4" t="n">
        <v>8</v>
      </c>
      <c r="D10" s="4" t="n">
        <v>8000</v>
      </c>
      <c r="E10" s="4" t="n">
        <v>25000</v>
      </c>
      <c r="F10" s="4">
        <f>C10*D10</f>
        <v/>
      </c>
      <c r="G10" s="4">
        <f>C10*E10</f>
        <v/>
      </c>
      <c r="H10" s="3" t="inlineStr"/>
    </row>
    <row r="11">
      <c r="A11" s="3" t="inlineStr">
        <is>
          <t>Вызывная панель IP с камерой, электрозамок калитки</t>
        </is>
      </c>
      <c r="B11" s="3" t="inlineStr">
        <is>
          <t>компл.</t>
        </is>
      </c>
      <c r="C11" s="4" t="n">
        <v>1</v>
      </c>
      <c r="D11" s="4" t="n">
        <v>20000</v>
      </c>
      <c r="E11" s="4" t="n">
        <v>60000</v>
      </c>
      <c r="F11" s="4">
        <f>C11*D11</f>
        <v/>
      </c>
      <c r="G11" s="4">
        <f>C11*E11</f>
        <v/>
      </c>
      <c r="H11" s="3" t="inlineStr"/>
    </row>
    <row r="12">
      <c r="A12" s="3" t="inlineStr">
        <is>
          <t>Монитор домофона IP 7"</t>
        </is>
      </c>
      <c r="B12" s="3" t="inlineStr">
        <is>
          <t>шт.</t>
        </is>
      </c>
      <c r="C12" s="4" t="n">
        <v>2</v>
      </c>
      <c r="D12" s="4" t="n">
        <v>15000</v>
      </c>
      <c r="E12" s="4" t="n">
        <v>40000</v>
      </c>
      <c r="F12" s="4">
        <f>C12*D12</f>
        <v/>
      </c>
      <c r="G12" s="4">
        <f>C12*E12</f>
        <v/>
      </c>
      <c r="H12" s="3" t="inlineStr"/>
    </row>
    <row r="13">
      <c r="A13" s="3" t="inlineStr">
        <is>
          <t>Розетка RJ45 cat.6 двойная</t>
        </is>
      </c>
      <c r="B13" s="3" t="inlineStr">
        <is>
          <t>шт.</t>
        </is>
      </c>
      <c r="C13" s="4" t="n">
        <v>9</v>
      </c>
      <c r="D13" s="4" t="n">
        <v>1000</v>
      </c>
      <c r="E13" s="4" t="n">
        <v>3000</v>
      </c>
      <c r="F13" s="4">
        <f>C13*D13</f>
        <v/>
      </c>
      <c r="G13" s="4">
        <f>C13*E13</f>
        <v/>
      </c>
      <c r="H13" s="3" t="inlineStr"/>
    </row>
    <row r="14">
      <c r="A14" s="3" t="inlineStr">
        <is>
          <t>Розетка ТВ/HDMI-over-IP</t>
        </is>
      </c>
      <c r="B14" s="3" t="inlineStr">
        <is>
          <t>шт.</t>
        </is>
      </c>
      <c r="C14" s="4" t="n">
        <v>3</v>
      </c>
      <c r="D14" s="4" t="n">
        <v>3000</v>
      </c>
      <c r="E14" s="4" t="n">
        <v>15000</v>
      </c>
      <c r="F14" s="4">
        <f>C14*D14</f>
        <v/>
      </c>
      <c r="G14" s="4">
        <f>C14*E14</f>
        <v/>
      </c>
      <c r="H14" s="3" t="inlineStr"/>
    </row>
    <row r="15">
      <c r="A15" s="3" t="inlineStr">
        <is>
          <t>Датчики открытия/движения (к централи 291-МЗ.ПС)</t>
        </is>
      </c>
      <c r="B15" s="3" t="inlineStr">
        <is>
          <t>шт.</t>
        </is>
      </c>
      <c r="C15" s="4" t="n">
        <v>14</v>
      </c>
      <c r="D15" s="4" t="n">
        <v>2000</v>
      </c>
      <c r="E15" s="4" t="n">
        <v>5000</v>
      </c>
      <c r="F15" s="4">
        <f>C15*D15</f>
        <v/>
      </c>
      <c r="G15" s="4">
        <f>C15*E15</f>
        <v/>
      </c>
      <c r="H15" s="3" t="inlineStr"/>
    </row>
    <row r="16">
      <c r="A16" s="3" t="inlineStr">
        <is>
          <t>Кабель U/UTP cat.6 LSZH</t>
        </is>
      </c>
      <c r="B16" s="3" t="inlineStr">
        <is>
          <t>м</t>
        </is>
      </c>
      <c r="C16" s="4" t="n">
        <v>900</v>
      </c>
      <c r="D16" s="4" t="n">
        <v>45</v>
      </c>
      <c r="E16" s="4" t="n">
        <v>90</v>
      </c>
      <c r="F16" s="4">
        <f>C16*D16</f>
        <v/>
      </c>
      <c r="G16" s="4">
        <f>C16*E16</f>
        <v/>
      </c>
      <c r="H16" s="3" t="inlineStr"/>
    </row>
    <row r="17">
      <c r="A17" s="3" t="inlineStr">
        <is>
          <t>Кабель U/UTP cat.6 наружный (в земле — в трубе)</t>
        </is>
      </c>
      <c r="B17" s="3" t="inlineStr">
        <is>
          <t>м</t>
        </is>
      </c>
      <c r="C17" s="4" t="n">
        <v>120</v>
      </c>
      <c r="D17" s="4" t="n">
        <v>70</v>
      </c>
      <c r="E17" s="4" t="n">
        <v>130</v>
      </c>
      <c r="F17" s="4">
        <f>C17*D17</f>
        <v/>
      </c>
      <c r="G17" s="4">
        <f>C17*E17</f>
        <v/>
      </c>
      <c r="H17" s="3" t="inlineStr"/>
    </row>
    <row r="18">
      <c r="A18" s="3" t="inlineStr">
        <is>
          <t>Труба ПНД Ø50 (ввод, калитка)</t>
        </is>
      </c>
      <c r="B18" s="3" t="inlineStr">
        <is>
          <t>м</t>
        </is>
      </c>
      <c r="C18" s="4" t="n">
        <v>80</v>
      </c>
      <c r="D18" s="4" t="n">
        <v>80</v>
      </c>
      <c r="E18" s="4" t="n">
        <v>150</v>
      </c>
      <c r="F18" s="4">
        <f>C18*D18</f>
        <v/>
      </c>
      <c r="G18" s="4">
        <f>C18*E18</f>
        <v/>
      </c>
      <c r="H18" s="3" t="inlineStr"/>
    </row>
    <row r="19">
      <c r="A19" s="3" t="inlineStr">
        <is>
          <t>Металлорукав / гофра Ø20 для слаботочки</t>
        </is>
      </c>
      <c r="B19" s="3" t="inlineStr">
        <is>
          <t>м</t>
        </is>
      </c>
      <c r="C19" s="4" t="n">
        <v>600</v>
      </c>
      <c r="D19" s="4" t="n">
        <v>40</v>
      </c>
      <c r="E19" s="4" t="n">
        <v>150</v>
      </c>
      <c r="F19" s="4">
        <f>C19*D19</f>
        <v/>
      </c>
      <c r="G19" s="4">
        <f>C19*E19</f>
        <v/>
      </c>
      <c r="H19" s="3" t="inlineStr"/>
    </row>
    <row r="20">
      <c r="A20" s="3" t="inlineStr">
        <is>
          <t>Материалы и оборудование (этап 1)</t>
        </is>
      </c>
      <c r="B20" s="3" t="n"/>
      <c r="C20" s="4" t="n"/>
      <c r="D20" s="4" t="n"/>
      <c r="E20" s="4" t="n"/>
      <c r="F20" s="4">
        <f>SUMIF(H2:H19,"",F2:F19)</f>
        <v/>
      </c>
      <c r="G20" s="4">
        <f>SUMIF(H2:H19,"",G2:G19)</f>
        <v/>
      </c>
      <c r="H20" s="3" t="n"/>
    </row>
    <row r="21">
      <c r="A21" s="3" t="inlineStr">
        <is>
          <t>Монтажные работы</t>
        </is>
      </c>
      <c r="B21" s="3" t="n"/>
      <c r="C21" s="4" t="n"/>
      <c r="D21" s="4" t="n"/>
      <c r="E21" s="4" t="n"/>
      <c r="F21" s="4" t="n">
        <v>225720</v>
      </c>
      <c r="G21" s="4" t="n">
        <v>338580</v>
      </c>
      <c r="H21" s="3" t="inlineStr">
        <is>
          <t>оценка</t>
        </is>
      </c>
    </row>
    <row r="22">
      <c r="A22" s="3" t="inlineStr">
        <is>
          <t>Крепёж, расходники, доставка</t>
        </is>
      </c>
      <c r="B22" s="3" t="n"/>
      <c r="C22" s="4" t="n"/>
      <c r="D22" s="4" t="n"/>
      <c r="E22" s="4" t="n"/>
      <c r="F22" s="4" t="n">
        <v>28215</v>
      </c>
      <c r="G22" s="4" t="n">
        <v>45144</v>
      </c>
      <c r="H22" s="3" t="inlineStr">
        <is>
          <t>оценка</t>
        </is>
      </c>
    </row>
    <row r="23">
      <c r="A23" s="3" t="inlineStr">
        <is>
          <t>Настройка сети, видеонаблюдения, домофона и «умного дома»</t>
        </is>
      </c>
      <c r="B23" s="3" t="n"/>
      <c r="C23" s="4" t="n"/>
      <c r="D23" s="4" t="n"/>
      <c r="E23" s="4" t="n"/>
      <c r="F23" s="4" t="n">
        <v>40000</v>
      </c>
      <c r="G23" s="4" t="n">
        <v>120000</v>
      </c>
      <c r="H23" s="3" t="inlineStr">
        <is>
          <t>оценка</t>
        </is>
      </c>
    </row>
    <row r="24">
      <c r="A24" s="5" t="inlineStr">
        <is>
          <t>ИТОГО этап 1</t>
        </is>
      </c>
      <c r="B24" s="5" t="n"/>
      <c r="C24" s="6" t="n"/>
      <c r="D24" s="6" t="n"/>
      <c r="E24" s="6" t="n"/>
      <c r="F24" s="6">
        <f>SUM(F20:F23)</f>
        <v/>
      </c>
      <c r="G24" s="6">
        <f>SUM(G20:G23)</f>
        <v/>
      </c>
      <c r="H2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</cols>
  <sheetData>
    <row r="1">
      <c r="A1" s="1" t="inlineStr">
        <is>
          <t>Позиция</t>
        </is>
      </c>
      <c r="B1" s="1" t="inlineStr">
        <is>
          <t>Ед.</t>
        </is>
      </c>
      <c r="C1" s="2" t="inlineStr">
        <is>
          <t>Кол-во</t>
        </is>
      </c>
      <c r="D1" s="2" t="inlineStr">
        <is>
          <t>Цена мин., ₽</t>
        </is>
      </c>
      <c r="E1" s="2" t="inlineStr">
        <is>
          <t>Цена макс., ₽</t>
        </is>
      </c>
      <c r="F1" s="2" t="inlineStr">
        <is>
          <t>Сумма мин., ₽</t>
        </is>
      </c>
      <c r="G1" s="2" t="inlineStr">
        <is>
          <t>Сумма макс., ₽</t>
        </is>
      </c>
      <c r="H1" s="1" t="inlineStr">
        <is>
          <t>Примечание</t>
        </is>
      </c>
    </row>
    <row r="2">
      <c r="A2" s="3" t="inlineStr">
        <is>
          <t>Молниеприёмник стержневой Ø16 L=1,5 м оцинк. с креплением</t>
        </is>
      </c>
      <c r="B2" s="3" t="inlineStr">
        <is>
          <t>шт.</t>
        </is>
      </c>
      <c r="C2" s="4" t="n">
        <v>4</v>
      </c>
      <c r="D2" s="4" t="n">
        <v>4000</v>
      </c>
      <c r="E2" s="4" t="n">
        <v>10000</v>
      </c>
      <c r="F2" s="4">
        <f>C2*D2</f>
        <v/>
      </c>
      <c r="G2" s="4">
        <f>C2*E2</f>
        <v/>
      </c>
      <c r="H2" s="3" t="inlineStr"/>
    </row>
    <row r="3">
      <c r="A3" s="3" t="inlineStr">
        <is>
          <t>Перемычки кровли (провод/полоса 16 мм²) с зажимами для фальца</t>
        </is>
      </c>
      <c r="B3" s="3" t="inlineStr">
        <is>
          <t>компл.</t>
        </is>
      </c>
      <c r="C3" s="4" t="n">
        <v>1</v>
      </c>
      <c r="D3" s="4" t="n">
        <v>15000</v>
      </c>
      <c r="E3" s="4" t="n">
        <v>35000</v>
      </c>
      <c r="F3" s="4">
        <f>C3*D3</f>
        <v/>
      </c>
      <c r="G3" s="4">
        <f>C3*E3</f>
        <v/>
      </c>
      <c r="H3" s="3" t="inlineStr"/>
    </row>
    <row r="4">
      <c r="A4" s="3" t="inlineStr">
        <is>
          <t>Пруток Ø8 оцинк. (токоотводы)</t>
        </is>
      </c>
      <c r="B4" s="3" t="inlineStr">
        <is>
          <t>м</t>
        </is>
      </c>
      <c r="C4" s="4" t="n">
        <v>72</v>
      </c>
      <c r="D4" s="4" t="n">
        <v>150</v>
      </c>
      <c r="E4" s="4" t="n">
        <v>300</v>
      </c>
      <c r="F4" s="4">
        <f>C4*D4</f>
        <v/>
      </c>
      <c r="G4" s="4">
        <f>C4*E4</f>
        <v/>
      </c>
      <c r="H4" s="3" t="inlineStr"/>
    </row>
    <row r="5">
      <c r="A5" s="3" t="inlineStr">
        <is>
          <t>Держатели токоотвода на фасад с отступом 100 мм</t>
        </is>
      </c>
      <c r="B5" s="3" t="inlineStr">
        <is>
          <t>шт.</t>
        </is>
      </c>
      <c r="C5" s="4" t="n">
        <v>72</v>
      </c>
      <c r="D5" s="4" t="n">
        <v>200</v>
      </c>
      <c r="E5" s="4" t="n">
        <v>500</v>
      </c>
      <c r="F5" s="4">
        <f>C5*D5</f>
        <v/>
      </c>
      <c r="G5" s="4">
        <f>C5*E5</f>
        <v/>
      </c>
      <c r="H5" s="3" t="inlineStr"/>
    </row>
    <row r="6">
      <c r="A6" s="3" t="inlineStr">
        <is>
          <t>Соединитель контрольный (разъём) токоотвод–заземлитель</t>
        </is>
      </c>
      <c r="B6" s="3" t="inlineStr">
        <is>
          <t>шт.</t>
        </is>
      </c>
      <c r="C6" s="4" t="n">
        <v>8</v>
      </c>
      <c r="D6" s="4" t="n">
        <v>500</v>
      </c>
      <c r="E6" s="4" t="n">
        <v>1500</v>
      </c>
      <c r="F6" s="4">
        <f>C6*D6</f>
        <v/>
      </c>
      <c r="G6" s="4">
        <f>C6*E6</f>
        <v/>
      </c>
      <c r="H6" s="3" t="inlineStr"/>
    </row>
    <row r="7">
      <c r="A7" s="3" t="inlineStr">
        <is>
          <t>Полоса стальная оцинкованная 40×4</t>
        </is>
      </c>
      <c r="B7" s="3" t="inlineStr">
        <is>
          <t>м</t>
        </is>
      </c>
      <c r="C7" s="4" t="n">
        <v>113</v>
      </c>
      <c r="D7" s="4" t="n">
        <v>400</v>
      </c>
      <c r="E7" s="4" t="n">
        <v>700</v>
      </c>
      <c r="F7" s="4">
        <f>C7*D7</f>
        <v/>
      </c>
      <c r="G7" s="4">
        <f>C7*E7</f>
        <v/>
      </c>
      <c r="H7" s="3" t="inlineStr"/>
    </row>
    <row r="8">
      <c r="A8" s="3" t="inlineStr">
        <is>
          <t>Электрод вертикальный Ø18 L=3 м (омеднённый/оцинк.)</t>
        </is>
      </c>
      <c r="B8" s="3" t="inlineStr">
        <is>
          <t>шт.</t>
        </is>
      </c>
      <c r="C8" s="4" t="n">
        <v>8</v>
      </c>
      <c r="D8" s="4" t="n">
        <v>3000</v>
      </c>
      <c r="E8" s="4" t="n">
        <v>7000</v>
      </c>
      <c r="F8" s="4">
        <f>C8*D8</f>
        <v/>
      </c>
      <c r="G8" s="4">
        <f>C8*E8</f>
        <v/>
      </c>
      <c r="H8" s="3" t="inlineStr"/>
    </row>
    <row r="9">
      <c r="A9" s="3" t="inlineStr">
        <is>
          <t>Главная заземляющая шина (ГЗШ)</t>
        </is>
      </c>
      <c r="B9" s="3" t="inlineStr">
        <is>
          <t>шт.</t>
        </is>
      </c>
      <c r="C9" s="4" t="n">
        <v>1</v>
      </c>
      <c r="D9" s="4" t="n">
        <v>3000</v>
      </c>
      <c r="E9" s="4" t="n">
        <v>8000</v>
      </c>
      <c r="F9" s="4">
        <f>C9*D9</f>
        <v/>
      </c>
      <c r="G9" s="4">
        <f>C9*E9</f>
        <v/>
      </c>
      <c r="H9" s="3" t="inlineStr"/>
    </row>
    <row r="10">
      <c r="A10" s="3" t="inlineStr">
        <is>
          <t>Коробка ДСУП с шиной (С/У, душевые, сауна)</t>
        </is>
      </c>
      <c r="B10" s="3" t="inlineStr">
        <is>
          <t>шт.</t>
        </is>
      </c>
      <c r="C10" s="4" t="n">
        <v>7</v>
      </c>
      <c r="D10" s="4" t="n">
        <v>1000</v>
      </c>
      <c r="E10" s="4" t="n">
        <v>2500</v>
      </c>
      <c r="F10" s="4">
        <f>C10*D10</f>
        <v/>
      </c>
      <c r="G10" s="4">
        <f>C10*E10</f>
        <v/>
      </c>
      <c r="H10" s="3" t="inlineStr"/>
    </row>
    <row r="11">
      <c r="A11" s="3" t="inlineStr">
        <is>
          <t>Провод ПуГВ 6…16 мм² жёлто-зелёный</t>
        </is>
      </c>
      <c r="B11" s="3" t="inlineStr">
        <is>
          <t>м</t>
        </is>
      </c>
      <c r="C11" s="4" t="n">
        <v>120</v>
      </c>
      <c r="D11" s="4" t="n">
        <v>80</v>
      </c>
      <c r="E11" s="4" t="n">
        <v>250</v>
      </c>
      <c r="F11" s="4">
        <f>C11*D11</f>
        <v/>
      </c>
      <c r="G11" s="4">
        <f>C11*E11</f>
        <v/>
      </c>
      <c r="H11" s="3" t="inlineStr"/>
    </row>
    <row r="12">
      <c r="A12" s="3" t="inlineStr">
        <is>
          <t>УЗИП класс I+II (ввод), класс II (щиты ПВУ, котельной)</t>
        </is>
      </c>
      <c r="B12" s="3" t="inlineStr">
        <is>
          <t>шт.</t>
        </is>
      </c>
      <c r="C12" s="4" t="n">
        <v>3</v>
      </c>
      <c r="D12" s="4" t="n">
        <v>8000</v>
      </c>
      <c r="E12" s="4" t="n">
        <v>25000</v>
      </c>
      <c r="F12" s="4">
        <f>C12*D12</f>
        <v/>
      </c>
      <c r="G12" s="4">
        <f>C12*E12</f>
        <v/>
      </c>
      <c r="H12" s="3" t="inlineStr"/>
    </row>
    <row r="13">
      <c r="A13" s="3" t="inlineStr">
        <is>
          <t>Измерение сопротивления заземлителя, протокол</t>
        </is>
      </c>
      <c r="B13" s="3" t="inlineStr">
        <is>
          <t>усл.</t>
        </is>
      </c>
      <c r="C13" s="4" t="n">
        <v>1</v>
      </c>
      <c r="D13" s="4" t="n">
        <v>10000</v>
      </c>
      <c r="E13" s="4" t="n">
        <v>25000</v>
      </c>
      <c r="F13" s="4">
        <f>C13*D13</f>
        <v/>
      </c>
      <c r="G13" s="4">
        <f>C13*E13</f>
        <v/>
      </c>
      <c r="H13" s="3" t="inlineStr"/>
    </row>
    <row r="14">
      <c r="A14" s="3" t="inlineStr">
        <is>
          <t>Централь (хаб) с GSM/Wi-Fi/Ethernet, релейный выход</t>
        </is>
      </c>
      <c r="B14" s="3" t="inlineStr">
        <is>
          <t>шт.</t>
        </is>
      </c>
      <c r="C14" s="4" t="n">
        <v>1</v>
      </c>
      <c r="D14" s="4" t="n">
        <v>15000</v>
      </c>
      <c r="E14" s="4" t="n">
        <v>40000</v>
      </c>
      <c r="F14" s="4">
        <f>C14*D14</f>
        <v/>
      </c>
      <c r="G14" s="4">
        <f>C14*E14</f>
        <v/>
      </c>
      <c r="H14" s="3" t="inlineStr"/>
    </row>
    <row r="15">
      <c r="A15" s="3" t="inlineStr">
        <is>
          <t>Модуль реле для отключения П1В1 и П2</t>
        </is>
      </c>
      <c r="B15" s="3" t="inlineStr">
        <is>
          <t>шт.</t>
        </is>
      </c>
      <c r="C15" s="4" t="n">
        <v>2</v>
      </c>
      <c r="D15" s="4" t="n">
        <v>4000</v>
      </c>
      <c r="E15" s="4" t="n">
        <v>8000</v>
      </c>
      <c r="F15" s="4">
        <f>C15*D15</f>
        <v/>
      </c>
      <c r="G15" s="4">
        <f>C15*E15</f>
        <v/>
      </c>
      <c r="H15" s="3" t="inlineStr"/>
    </row>
    <row r="16">
      <c r="A16" s="3" t="inlineStr">
        <is>
          <t>Извещатель дымовой радиоканальный</t>
        </is>
      </c>
      <c r="B16" s="3" t="inlineStr">
        <is>
          <t>шт.</t>
        </is>
      </c>
      <c r="C16" s="4" t="n">
        <v>22</v>
      </c>
      <c r="D16" s="4" t="n">
        <v>4000</v>
      </c>
      <c r="E16" s="4" t="n">
        <v>9000</v>
      </c>
      <c r="F16" s="4">
        <f>C16*D16</f>
        <v/>
      </c>
      <c r="G16" s="4">
        <f>C16*E16</f>
        <v/>
      </c>
      <c r="H16" s="3" t="inlineStr"/>
    </row>
    <row r="17">
      <c r="A17" s="3" t="inlineStr">
        <is>
          <t>Извещатель тепловой радиоканальный</t>
        </is>
      </c>
      <c r="B17" s="3" t="inlineStr">
        <is>
          <t>шт.</t>
        </is>
      </c>
      <c r="C17" s="4" t="n">
        <v>2</v>
      </c>
      <c r="D17" s="4" t="n">
        <v>4000</v>
      </c>
      <c r="E17" s="4" t="n">
        <v>8000</v>
      </c>
      <c r="F17" s="4">
        <f>C17*D17</f>
        <v/>
      </c>
      <c r="G17" s="4">
        <f>C17*E17</f>
        <v/>
      </c>
      <c r="H17" s="3" t="inlineStr"/>
    </row>
    <row r="18">
      <c r="A18" s="3" t="inlineStr">
        <is>
          <t>Датчик угарного газа радиоканальный</t>
        </is>
      </c>
      <c r="B18" s="3" t="inlineStr">
        <is>
          <t>шт.</t>
        </is>
      </c>
      <c r="C18" s="4" t="n">
        <v>1</v>
      </c>
      <c r="D18" s="4" t="n">
        <v>8000</v>
      </c>
      <c r="E18" s="4" t="n">
        <v>15000</v>
      </c>
      <c r="F18" s="4">
        <f>C18*D18</f>
        <v/>
      </c>
      <c r="G18" s="4">
        <f>C18*E18</f>
        <v/>
      </c>
      <c r="H18" s="3" t="inlineStr"/>
    </row>
    <row r="19">
      <c r="A19" s="3" t="inlineStr">
        <is>
          <t>Оповещатель звуковой (сирена) радиоканальный</t>
        </is>
      </c>
      <c r="B19" s="3" t="inlineStr">
        <is>
          <t>шт.</t>
        </is>
      </c>
      <c r="C19" s="4" t="n">
        <v>2</v>
      </c>
      <c r="D19" s="4" t="n">
        <v>6000</v>
      </c>
      <c r="E19" s="4" t="n">
        <v>12000</v>
      </c>
      <c r="F19" s="4">
        <f>C19*D19</f>
        <v/>
      </c>
      <c r="G19" s="4">
        <f>C19*E19</f>
        <v/>
      </c>
      <c r="H19" s="3" t="inlineStr"/>
    </row>
    <row r="20">
      <c r="A20" s="3" t="inlineStr">
        <is>
          <t>Датчик метана с клапаном-отсекателем (этап 2, газ)</t>
        </is>
      </c>
      <c r="B20" s="3" t="inlineStr">
        <is>
          <t>компл.</t>
        </is>
      </c>
      <c r="C20" s="4" t="n">
        <v>1</v>
      </c>
      <c r="D20" s="4" t="n">
        <v>15000</v>
      </c>
      <c r="E20" s="4" t="n">
        <v>35000</v>
      </c>
      <c r="F20" s="4">
        <f>C20*D20</f>
        <v/>
      </c>
      <c r="G20" s="4">
        <f>C20*E20</f>
        <v/>
      </c>
      <c r="H20" s="3" t="inlineStr">
        <is>
          <t>этап 2</t>
        </is>
      </c>
    </row>
    <row r="21">
      <c r="A21" s="3" t="inlineStr">
        <is>
          <t>Материалы и оборудование (этап 1)</t>
        </is>
      </c>
      <c r="B21" s="3" t="n"/>
      <c r="C21" s="4" t="n"/>
      <c r="D21" s="4" t="n"/>
      <c r="E21" s="4" t="n"/>
      <c r="F21" s="4">
        <f>SUMIF(H2:H20,"",F2:F20)</f>
        <v/>
      </c>
      <c r="G21" s="4">
        <f>SUMIF(H2:H20,"",G2:G20)</f>
        <v/>
      </c>
      <c r="H21" s="3" t="n"/>
    </row>
    <row r="22">
      <c r="A22" s="3" t="inlineStr">
        <is>
          <t>Монтажные работы</t>
        </is>
      </c>
      <c r="B22" s="3" t="n"/>
      <c r="C22" s="4" t="n"/>
      <c r="D22" s="4" t="n"/>
      <c r="E22" s="4" t="n"/>
      <c r="F22" s="4" t="n">
        <v>167250</v>
      </c>
      <c r="G22" s="4" t="n">
        <v>243000</v>
      </c>
      <c r="H22" s="3" t="inlineStr">
        <is>
          <t>оценка</t>
        </is>
      </c>
    </row>
    <row r="23">
      <c r="A23" s="3" t="inlineStr">
        <is>
          <t>Крепёж, расходники, доставка</t>
        </is>
      </c>
      <c r="B23" s="3" t="n"/>
      <c r="C23" s="4" t="n"/>
      <c r="D23" s="4" t="n"/>
      <c r="E23" s="4" t="n"/>
      <c r="F23" s="4" t="n">
        <v>16100</v>
      </c>
      <c r="G23" s="4" t="n">
        <v>25760</v>
      </c>
      <c r="H23" s="3" t="inlineStr">
        <is>
          <t>оценка</t>
        </is>
      </c>
    </row>
    <row r="24">
      <c r="A24" s="3" t="inlineStr">
        <is>
          <t>Программирование централи, проверка срабатывания ПС</t>
        </is>
      </c>
      <c r="B24" s="3" t="n"/>
      <c r="C24" s="4" t="n"/>
      <c r="D24" s="4" t="n"/>
      <c r="E24" s="4" t="n"/>
      <c r="F24" s="4" t="n">
        <v>10000</v>
      </c>
      <c r="G24" s="4" t="n">
        <v>30000</v>
      </c>
      <c r="H24" s="3" t="inlineStr">
        <is>
          <t>оценка</t>
        </is>
      </c>
    </row>
    <row r="25">
      <c r="A25" s="5" t="inlineStr">
        <is>
          <t>ИТОГО этап 1</t>
        </is>
      </c>
      <c r="B25" s="5" t="n"/>
      <c r="C25" s="6" t="n"/>
      <c r="D25" s="6" t="n"/>
      <c r="E25" s="6" t="n"/>
      <c r="F25" s="6">
        <f>SUM(F21:F24)</f>
        <v/>
      </c>
      <c r="G25" s="6">
        <f>SUM(G21:G24)</f>
        <v/>
      </c>
      <c r="H25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</cols>
  <sheetData>
    <row r="1">
      <c r="A1" s="1" t="inlineStr">
        <is>
          <t>Позиция</t>
        </is>
      </c>
      <c r="B1" s="1" t="inlineStr">
        <is>
          <t>Ед.</t>
        </is>
      </c>
      <c r="C1" s="2" t="inlineStr">
        <is>
          <t>Кол-во</t>
        </is>
      </c>
      <c r="D1" s="2" t="inlineStr">
        <is>
          <t>Цена мин., ₽</t>
        </is>
      </c>
      <c r="E1" s="2" t="inlineStr">
        <is>
          <t>Цена макс., ₽</t>
        </is>
      </c>
      <c r="F1" s="2" t="inlineStr">
        <is>
          <t>Сумма мин., ₽</t>
        </is>
      </c>
      <c r="G1" s="2" t="inlineStr">
        <is>
          <t>Сумма макс., ₽</t>
        </is>
      </c>
      <c r="H1" s="1" t="inlineStr">
        <is>
          <t>Примечание</t>
        </is>
      </c>
    </row>
    <row r="2">
      <c r="A2" s="3" t="inlineStr">
        <is>
          <t>К1 бытовая: ПП Ø160 ≈ 45 м с траншеей и обратной засыпкой</t>
        </is>
      </c>
      <c r="B2" s="3" t="inlineStr">
        <is>
          <t>компл.</t>
        </is>
      </c>
      <c r="C2" s="4" t="n">
        <v>1</v>
      </c>
      <c r="D2" s="4" t="n">
        <v>225000</v>
      </c>
      <c r="E2" s="4" t="n">
        <v>450000</v>
      </c>
      <c r="F2" s="4">
        <f>C2*D2</f>
        <v/>
      </c>
      <c r="G2" s="4">
        <f>C2*E2</f>
        <v/>
      </c>
      <c r="H2" s="3" t="inlineStr"/>
    </row>
    <row r="3">
      <c r="A3" s="3" t="inlineStr">
        <is>
          <t>Колодцы канализационные К1–К3 (ПП/ж/б Ø1000) с люками</t>
        </is>
      </c>
      <c r="B3" s="3" t="inlineStr">
        <is>
          <t>компл.</t>
        </is>
      </c>
      <c r="C3" s="4" t="n">
        <v>1</v>
      </c>
      <c r="D3" s="4" t="n">
        <v>105000</v>
      </c>
      <c r="E3" s="4" t="n">
        <v>240000</v>
      </c>
      <c r="F3" s="4">
        <f>C3*D3</f>
        <v/>
      </c>
      <c r="G3" s="4">
        <f>C3*E3</f>
        <v/>
      </c>
      <c r="H3" s="3" t="inlineStr"/>
    </row>
    <row r="4">
      <c r="A4" s="3" t="inlineStr">
        <is>
          <t>В1 водопровод: ПЭ100 Ø32 ≈ 20 м, траншея h ≥ 1,8 м</t>
        </is>
      </c>
      <c r="B4" s="3" t="inlineStr">
        <is>
          <t>компл.</t>
        </is>
      </c>
      <c r="C4" s="4" t="n">
        <v>1</v>
      </c>
      <c r="D4" s="4" t="n">
        <v>70000</v>
      </c>
      <c r="E4" s="4" t="n">
        <v>130000</v>
      </c>
      <c r="F4" s="4">
        <f>C4*D4</f>
        <v/>
      </c>
      <c r="G4" s="4">
        <f>C4*E4</f>
        <v/>
      </c>
      <c r="H4" s="3" t="inlineStr"/>
    </row>
    <row r="5">
      <c r="A5" s="3" t="inlineStr">
        <is>
          <t>Врезка в центральную сеть, водомерный колодец (по ТУ водоканала)</t>
        </is>
      </c>
      <c r="B5" s="3" t="inlineStr">
        <is>
          <t>компл.</t>
        </is>
      </c>
      <c r="C5" s="4" t="n">
        <v>1</v>
      </c>
      <c r="D5" s="4" t="n">
        <v>80000</v>
      </c>
      <c r="E5" s="4" t="n">
        <v>250000</v>
      </c>
      <c r="F5" s="4">
        <f>C5*D5</f>
        <v/>
      </c>
      <c r="G5" s="4">
        <f>C5*E5</f>
        <v/>
      </c>
      <c r="H5" s="3" t="inlineStr"/>
    </row>
    <row r="6">
      <c r="A6" s="3" t="inlineStr">
        <is>
          <t>Кабель 0,4 кВ АВБбШв 4×35 ≈ 20 м в ПНД Ø110 с траншеей</t>
        </is>
      </c>
      <c r="B6" s="3" t="inlineStr">
        <is>
          <t>компл.</t>
        </is>
      </c>
      <c r="C6" s="4" t="n">
        <v>1</v>
      </c>
      <c r="D6" s="4" t="n">
        <v>70000</v>
      </c>
      <c r="E6" s="4" t="n">
        <v>130000</v>
      </c>
      <c r="F6" s="4">
        <f>C6*D6</f>
        <v/>
      </c>
      <c r="G6" s="4">
        <f>C6*E6</f>
        <v/>
      </c>
      <c r="H6" s="3" t="inlineStr"/>
    </row>
    <row r="7">
      <c r="A7" s="3" t="inlineStr">
        <is>
          <t>Технологическое присоединение 50 кВт (плата по договору с Россетями)</t>
        </is>
      </c>
      <c r="B7" s="3" t="inlineStr">
        <is>
          <t>компл.</t>
        </is>
      </c>
      <c r="C7" s="4" t="n">
        <v>1</v>
      </c>
      <c r="D7" s="4" t="n">
        <v>100000</v>
      </c>
      <c r="E7" s="4" t="n">
        <v>600000</v>
      </c>
      <c r="F7" s="4">
        <f>C7*D7</f>
        <v/>
      </c>
      <c r="G7" s="4">
        <f>C7*E7</f>
        <v/>
      </c>
      <c r="H7" s="3" t="inlineStr"/>
    </row>
    <row r="8">
      <c r="A8" s="3" t="inlineStr">
        <is>
          <t>Слаботочка: ПНД Ø50 ≈ 25 м (в общей траншее)</t>
        </is>
      </c>
      <c r="B8" s="3" t="inlineStr">
        <is>
          <t>компл.</t>
        </is>
      </c>
      <c r="C8" s="4" t="n">
        <v>1</v>
      </c>
      <c r="D8" s="4" t="n">
        <v>15000</v>
      </c>
      <c r="E8" s="4" t="n">
        <v>37500</v>
      </c>
      <c r="F8" s="4">
        <f>C8*D8</f>
        <v/>
      </c>
      <c r="G8" s="4">
        <f>C8*E8</f>
        <v/>
      </c>
      <c r="H8" s="3" t="inlineStr"/>
    </row>
    <row r="9">
      <c r="A9" s="3" t="inlineStr">
        <is>
          <t>Дренаж и ливнёвка ≈ 90 м: ПВХ Ø110–160, щебень, геотекстиль, колодцы</t>
        </is>
      </c>
      <c r="B9" s="3" t="inlineStr">
        <is>
          <t>компл.</t>
        </is>
      </c>
      <c r="C9" s="4" t="n">
        <v>1</v>
      </c>
      <c r="D9" s="4" t="n">
        <v>315000</v>
      </c>
      <c r="E9" s="4" t="n">
        <v>630000</v>
      </c>
      <c r="F9" s="4">
        <f>C9*D9</f>
        <v/>
      </c>
      <c r="G9" s="4">
        <f>C9*E9</f>
        <v/>
      </c>
      <c r="H9" s="3" t="inlineStr"/>
    </row>
    <row r="10">
      <c r="A10" s="3" t="inlineStr">
        <is>
          <t>Газ (этап 2): газопровод по участку ≈ 15 м, проект ГСВ, пуск</t>
        </is>
      </c>
      <c r="B10" s="3" t="inlineStr">
        <is>
          <t>компл.</t>
        </is>
      </c>
      <c r="C10" s="4" t="n">
        <v>1</v>
      </c>
      <c r="D10" s="4" t="n">
        <v>200000</v>
      </c>
      <c r="E10" s="4" t="n">
        <v>550000</v>
      </c>
      <c r="F10" s="4">
        <f>C10*D10</f>
        <v/>
      </c>
      <c r="G10" s="4">
        <f>C10*E10</f>
        <v/>
      </c>
      <c r="H10" s="3" t="inlineStr">
        <is>
          <t>этап 2</t>
        </is>
      </c>
    </row>
    <row r="11">
      <c r="A11" s="3" t="inlineStr">
        <is>
          <t>КНС на участке — только если по ТУ нет самотёка (опция)</t>
        </is>
      </c>
      <c r="B11" s="3" t="inlineStr">
        <is>
          <t>компл.</t>
        </is>
      </c>
      <c r="C11" s="4" t="n">
        <v>1</v>
      </c>
      <c r="D11" s="4" t="n">
        <v>350000</v>
      </c>
      <c r="E11" s="4" t="n">
        <v>800000</v>
      </c>
      <c r="F11" s="4">
        <f>C11*D11</f>
        <v/>
      </c>
      <c r="G11" s="4">
        <f>C11*E11</f>
        <v/>
      </c>
      <c r="H11" s="3" t="inlineStr">
        <is>
          <t>опция, не в итоге</t>
        </is>
      </c>
    </row>
    <row r="12">
      <c r="A12" s="5" t="inlineStr">
        <is>
          <t>ИТОГО этап 1</t>
        </is>
      </c>
      <c r="B12" s="5" t="n"/>
      <c r="C12" s="6" t="n"/>
      <c r="D12" s="6" t="n"/>
      <c r="E12" s="6" t="n"/>
      <c r="F12" s="6">
        <f>SUMIF(H2:H11,"",F2:F11)</f>
        <v/>
      </c>
      <c r="G12" s="6">
        <f>SUMIF(H2:H11,"",G2:G11)</f>
        <v/>
      </c>
      <c r="H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2026-10-21T05:16:03Z</dcterms:created>
  <dcterms:modified xmlns:dcterms="http://purl.org/dc/terms/" xmlns:xsi="http://www.w3.org/2001/XMLSchema-instance" xsi:type="dcterms:W3CDTF">2026-10-21T05:16:03Z</dcterms:modified>
</cp:coreProperties>
</file>