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" sheetId="1" state="visible" r:id="rId1"/>
    <sheet xmlns:r="http://schemas.openxmlformats.org/officeDocument/2006/relationships" name="Реестр" sheetId="2" state="visible" r:id="rId2"/>
    <sheet xmlns:r="http://schemas.openxmlformats.org/officeDocument/2006/relationships" name="Цел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70" customWidth="1" min="3" max="3"/>
    <col width="14" customWidth="1" min="4" max="4"/>
    <col width="16" customWidth="1" min="5" max="5"/>
  </cols>
  <sheetData>
    <row r="1">
      <c r="A1" s="1" t="inlineStr">
        <is>
          <t>КП</t>
        </is>
      </c>
      <c r="B1" s="1" t="inlineStr">
        <is>
          <t>Объект</t>
        </is>
      </c>
      <c r="C1" s="1" t="inlineStr">
        <is>
          <t>Раздел</t>
        </is>
      </c>
      <c r="D1" s="1" t="inlineStr">
        <is>
          <t>Сумма, ₽</t>
        </is>
      </c>
      <c r="E1" s="1" t="inlineStr">
        <is>
          <t>Строка ТЗ (дубль)</t>
        </is>
      </c>
    </row>
    <row r="2">
      <c r="A2" t="inlineStr">
        <is>
          <t>НС</t>
        </is>
      </c>
      <c r="B2" t="inlineStr">
        <is>
          <t>Посёлок</t>
        </is>
      </c>
      <c r="C2" t="inlineStr">
        <is>
          <t>Электроснабжение: 2 ТП (150→250 и 100 кВт), ДГУ 250 кВт с АВР, сети, ГРП/серверные стойки</t>
        </is>
      </c>
      <c r="D2" s="2" t="n">
        <v>580000</v>
      </c>
      <c r="E2" t="inlineStr"/>
    </row>
    <row r="3">
      <c r="A3" t="inlineStr">
        <is>
          <t>НС</t>
        </is>
      </c>
      <c r="B3" t="inlineStr">
        <is>
          <t>Посёлок</t>
        </is>
      </c>
      <c r="C3" t="inlineStr">
        <is>
          <t>Водоснабжение: кольцевая сеть, УФ, насосная группа</t>
        </is>
      </c>
      <c r="D3" s="2" t="n">
        <v>400000</v>
      </c>
      <c r="E3" t="inlineStr"/>
    </row>
    <row r="4">
      <c r="A4" t="inlineStr">
        <is>
          <t>НС</t>
        </is>
      </c>
      <c r="B4" t="inlineStr">
        <is>
          <t>Посёлок</t>
        </is>
      </c>
      <c r="C4" t="inlineStr">
        <is>
          <t>Канализация: самотёк, КНС, напорные от ресторана/бани и 8 домов</t>
        </is>
      </c>
      <c r="D4" s="2" t="n">
        <v>500000</v>
      </c>
      <c r="E4" t="inlineStr"/>
    </row>
    <row r="5">
      <c r="A5" t="inlineStr">
        <is>
          <t>НС</t>
        </is>
      </c>
      <c r="B5" t="inlineStr">
        <is>
          <t>Посёлок</t>
        </is>
      </c>
      <c r="C5" t="inlineStr">
        <is>
          <t>Пожарный водопровод — сухотруб с дистанционным запуском</t>
        </is>
      </c>
      <c r="D5" s="2" t="n">
        <v>250000</v>
      </c>
      <c r="E5" t="inlineStr"/>
    </row>
    <row r="6">
      <c r="A6" t="inlineStr">
        <is>
          <t>НС</t>
        </is>
      </c>
      <c r="B6" t="inlineStr">
        <is>
          <t>Посёлок</t>
        </is>
      </c>
      <c r="C6" t="inlineStr">
        <is>
          <t>ВОЛС / ЕИКС посёлка с узлами передачи данных</t>
        </is>
      </c>
      <c r="D6" s="2" t="n">
        <v>720000</v>
      </c>
      <c r="E6" t="inlineStr"/>
    </row>
    <row r="7">
      <c r="A7" t="inlineStr">
        <is>
          <t>НС</t>
        </is>
      </c>
      <c r="B7" t="inlineStr">
        <is>
          <t>Посёлок</t>
        </is>
      </c>
      <c r="C7" t="inlineStr">
        <is>
          <t>Периметральная охрана со стороны воды («Предел 200», «Грань 200»)</t>
        </is>
      </c>
      <c r="D7" s="2" t="n">
        <v>320000</v>
      </c>
      <c r="E7" t="inlineStr"/>
    </row>
    <row r="8">
      <c r="A8" t="inlineStr">
        <is>
          <t>НС</t>
        </is>
      </c>
      <c r="B8" t="inlineStr">
        <is>
          <t>Посёлок</t>
        </is>
      </c>
      <c r="C8" t="inlineStr">
        <is>
          <t>Охранное видеонаблюдение с нейродетекцией</t>
        </is>
      </c>
      <c r="D8" s="2" t="n">
        <v>290000</v>
      </c>
      <c r="E8" t="inlineStr"/>
    </row>
    <row r="9">
      <c r="A9" t="inlineStr">
        <is>
          <t>НС</t>
        </is>
      </c>
      <c r="B9" t="inlineStr">
        <is>
          <t>Посёлок</t>
        </is>
      </c>
      <c r="C9" t="inlineStr">
        <is>
          <t>Наружное освещение (по заданию архитектора)</t>
        </is>
      </c>
      <c r="D9" s="2" t="n">
        <v>350000</v>
      </c>
      <c r="E9" t="inlineStr"/>
    </row>
    <row r="10">
      <c r="A10" t="inlineStr">
        <is>
          <t>ЭЛ</t>
        </is>
      </c>
      <c r="B10" t="inlineStr">
        <is>
          <t>Эллинг</t>
        </is>
      </c>
      <c r="C10" t="inlineStr">
        <is>
          <t>Составление ТЗ (гидравлика)</t>
        </is>
      </c>
      <c r="D10" s="2" t="n">
        <v>50000</v>
      </c>
      <c r="E10" t="inlineStr">
        <is>
          <t>да</t>
        </is>
      </c>
    </row>
    <row r="11">
      <c r="A11" t="inlineStr">
        <is>
          <t>ЭЛ</t>
        </is>
      </c>
      <c r="B11" t="inlineStr">
        <is>
          <t>Эллинг</t>
        </is>
      </c>
      <c r="C11" t="inlineStr">
        <is>
          <t>Отопление и тёплые полы</t>
        </is>
      </c>
      <c r="D11" s="2" t="n">
        <v>250000</v>
      </c>
      <c r="E11" t="inlineStr"/>
    </row>
    <row r="12">
      <c r="A12" t="inlineStr">
        <is>
          <t>ЭЛ</t>
        </is>
      </c>
      <c r="B12" t="inlineStr">
        <is>
          <t>Эллинг</t>
        </is>
      </c>
      <c r="C12" t="inlineStr">
        <is>
          <t>Теплоснабжение вентиляции</t>
        </is>
      </c>
      <c r="D12" s="2" t="n">
        <v>61000</v>
      </c>
      <c r="E12" t="inlineStr"/>
    </row>
    <row r="13">
      <c r="A13" t="inlineStr">
        <is>
          <t>ЭЛ</t>
        </is>
      </c>
      <c r="B13" t="inlineStr">
        <is>
          <t>Эллинг</t>
        </is>
      </c>
      <c r="C13" t="inlineStr">
        <is>
          <t>Водоснабжение и хоз-бытовая канализация</t>
        </is>
      </c>
      <c r="D13" s="2" t="n">
        <v>177000</v>
      </c>
      <c r="E13" t="inlineStr"/>
    </row>
    <row r="14">
      <c r="A14" t="inlineStr">
        <is>
          <t>ЭЛ</t>
        </is>
      </c>
      <c r="B14" t="inlineStr">
        <is>
          <t>Эллинг</t>
        </is>
      </c>
      <c r="C14" t="inlineStr">
        <is>
          <t>Дренаж от кондиционеров и вентиляции</t>
        </is>
      </c>
      <c r="D14" s="2" t="n">
        <v>54000</v>
      </c>
      <c r="E14" t="inlineStr"/>
    </row>
    <row r="15">
      <c r="A15" t="inlineStr">
        <is>
          <t>ЭЛ</t>
        </is>
      </c>
      <c r="B15" t="inlineStr">
        <is>
          <t>Эллинг</t>
        </is>
      </c>
      <c r="C15" t="inlineStr">
        <is>
          <t>Котельная</t>
        </is>
      </c>
      <c r="D15" s="2" t="n">
        <v>111000</v>
      </c>
      <c r="E15" t="inlineStr"/>
    </row>
    <row r="16">
      <c r="A16" t="inlineStr">
        <is>
          <t>ЭЛ</t>
        </is>
      </c>
      <c r="B16" t="inlineStr">
        <is>
          <t>Эллинг</t>
        </is>
      </c>
      <c r="C16" t="inlineStr">
        <is>
          <t>Составление ТЗ (аэродинамика)</t>
        </is>
      </c>
      <c r="D16" s="2" t="n">
        <v>50000</v>
      </c>
      <c r="E16" t="inlineStr">
        <is>
          <t>да</t>
        </is>
      </c>
    </row>
    <row r="17">
      <c r="A17" t="inlineStr">
        <is>
          <t>ЭЛ</t>
        </is>
      </c>
      <c r="B17" t="inlineStr">
        <is>
          <t>Эллинг</t>
        </is>
      </c>
      <c r="C17" t="inlineStr">
        <is>
          <t>Общеобменная вентиляция</t>
        </is>
      </c>
      <c r="D17" s="2" t="n">
        <v>373032</v>
      </c>
      <c r="E17" t="inlineStr"/>
    </row>
    <row r="18">
      <c r="A18" t="inlineStr">
        <is>
          <t>ЭЛ</t>
        </is>
      </c>
      <c r="B18" t="inlineStr">
        <is>
          <t>Эллинг</t>
        </is>
      </c>
      <c r="C18" t="inlineStr">
        <is>
          <t>Кондиционирование</t>
        </is>
      </c>
      <c r="D18" s="2" t="n">
        <v>231880</v>
      </c>
      <c r="E18" t="inlineStr"/>
    </row>
    <row r="19">
      <c r="A19" t="inlineStr">
        <is>
          <t>ЭБ</t>
        </is>
      </c>
      <c r="B19" t="inlineStr">
        <is>
          <t>Эллинг</t>
        </is>
      </c>
      <c r="C19" t="inlineStr">
        <is>
          <t>Электроснабжение и электроосвещение + фасадное освещение</t>
        </is>
      </c>
      <c r="D19" s="2" t="n">
        <v>360000</v>
      </c>
      <c r="E19" t="inlineStr"/>
    </row>
    <row r="20">
      <c r="A20" t="inlineStr">
        <is>
          <t>ЭБ</t>
        </is>
      </c>
      <c r="B20" t="inlineStr">
        <is>
          <t>Эллинг</t>
        </is>
      </c>
      <c r="C20" t="inlineStr">
        <is>
          <t>Автоматизация, климат спортзала, диспетчеризация</t>
        </is>
      </c>
      <c r="D20" s="2" t="n">
        <v>390000</v>
      </c>
      <c r="E20" t="inlineStr"/>
    </row>
    <row r="21">
      <c r="A21" t="inlineStr">
        <is>
          <t>ЭБ</t>
        </is>
      </c>
      <c r="B21" t="inlineStr">
        <is>
          <t>Эллинг</t>
        </is>
      </c>
      <c r="C21" t="inlineStr">
        <is>
          <t>СКС, ЛВС, Wi-Fi</t>
        </is>
      </c>
      <c r="D21" s="2" t="n">
        <v>130000</v>
      </c>
      <c r="E21" t="inlineStr"/>
    </row>
    <row r="22">
      <c r="A22" t="inlineStr">
        <is>
          <t>ЭБ</t>
        </is>
      </c>
      <c r="B22" t="inlineStr">
        <is>
          <t>Эллинг</t>
        </is>
      </c>
      <c r="C22" t="inlineStr">
        <is>
          <t>АПС + управление пожаротушением гаражей, центральный пост посёлка</t>
        </is>
      </c>
      <c r="D22" s="2" t="n">
        <v>270000</v>
      </c>
      <c r="E22" t="inlineStr"/>
    </row>
    <row r="23">
      <c r="A23" t="inlineStr">
        <is>
          <t>ЭБ</t>
        </is>
      </c>
      <c r="B23" t="inlineStr">
        <is>
          <t>Эллинг</t>
        </is>
      </c>
      <c r="C23" t="inlineStr">
        <is>
          <t>Охранное ТВ гаражей и МОП, центральный пост посёлка</t>
        </is>
      </c>
      <c r="D23" s="2" t="n">
        <v>120000</v>
      </c>
      <c r="E23" t="inlineStr"/>
    </row>
    <row r="24">
      <c r="A24" t="inlineStr">
        <is>
          <t>ЭБ</t>
        </is>
      </c>
      <c r="B24" t="inlineStr">
        <is>
          <t>Эллинг</t>
        </is>
      </c>
      <c r="C24" t="inlineStr">
        <is>
          <t>СКУД и интерком: 2 входа в посёлок + 4 двери</t>
        </is>
      </c>
      <c r="D24" s="2" t="n">
        <v>120000</v>
      </c>
      <c r="E24" t="inlineStr"/>
    </row>
    <row r="25">
      <c r="A25" t="inlineStr">
        <is>
          <t>БН</t>
        </is>
      </c>
      <c r="B25" t="inlineStr">
        <is>
          <t>Баня</t>
        </is>
      </c>
      <c r="C25" t="inlineStr">
        <is>
          <t>Составление ТЗ (гидравлика)</t>
        </is>
      </c>
      <c r="D25" s="2" t="n">
        <v>50000</v>
      </c>
      <c r="E25" t="inlineStr">
        <is>
          <t>да</t>
        </is>
      </c>
    </row>
    <row r="26">
      <c r="A26" t="inlineStr">
        <is>
          <t>БН</t>
        </is>
      </c>
      <c r="B26" t="inlineStr">
        <is>
          <t>Баня</t>
        </is>
      </c>
      <c r="C26" t="inlineStr">
        <is>
          <t>Отопление и тёплые полы</t>
        </is>
      </c>
      <c r="D26" s="2" t="n">
        <v>87500</v>
      </c>
      <c r="E26" t="inlineStr"/>
    </row>
    <row r="27">
      <c r="A27" t="inlineStr">
        <is>
          <t>БН</t>
        </is>
      </c>
      <c r="B27" t="inlineStr">
        <is>
          <t>Баня</t>
        </is>
      </c>
      <c r="C27" t="inlineStr">
        <is>
          <t>Теплоснабжение вентиляции</t>
        </is>
      </c>
      <c r="D27" s="2" t="n">
        <v>21500</v>
      </c>
      <c r="E27" t="inlineStr"/>
    </row>
    <row r="28">
      <c r="A28" t="inlineStr">
        <is>
          <t>БН</t>
        </is>
      </c>
      <c r="B28" t="inlineStr">
        <is>
          <t>Баня</t>
        </is>
      </c>
      <c r="C28" t="inlineStr">
        <is>
          <t>Водоснабжение и хоз-бытовая канализация</t>
        </is>
      </c>
      <c r="D28" s="2" t="n">
        <v>62000</v>
      </c>
      <c r="E28" t="inlineStr"/>
    </row>
    <row r="29">
      <c r="A29" t="inlineStr">
        <is>
          <t>БН</t>
        </is>
      </c>
      <c r="B29" t="inlineStr">
        <is>
          <t>Баня</t>
        </is>
      </c>
      <c r="C29" t="inlineStr">
        <is>
          <t>Дренаж от кондиционеров и вентиляции</t>
        </is>
      </c>
      <c r="D29" s="2" t="n">
        <v>19000</v>
      </c>
      <c r="E29" t="inlineStr"/>
    </row>
    <row r="30">
      <c r="A30" t="inlineStr">
        <is>
          <t>БН</t>
        </is>
      </c>
      <c r="B30" t="inlineStr">
        <is>
          <t>Баня</t>
        </is>
      </c>
      <c r="C30" t="inlineStr">
        <is>
          <t>Котельная</t>
        </is>
      </c>
      <c r="D30" s="2" t="n">
        <v>39000</v>
      </c>
      <c r="E30" t="inlineStr"/>
    </row>
    <row r="31">
      <c r="A31" t="inlineStr">
        <is>
          <t>БН</t>
        </is>
      </c>
      <c r="B31" t="inlineStr">
        <is>
          <t>Баня</t>
        </is>
      </c>
      <c r="C31" t="inlineStr">
        <is>
          <t>Составление ТЗ (аэродинамика)</t>
        </is>
      </c>
      <c r="D31" s="2" t="n">
        <v>50000</v>
      </c>
      <c r="E31" t="inlineStr">
        <is>
          <t>да</t>
        </is>
      </c>
    </row>
    <row r="32">
      <c r="A32" t="inlineStr">
        <is>
          <t>БН</t>
        </is>
      </c>
      <c r="B32" t="inlineStr">
        <is>
          <t>Баня</t>
        </is>
      </c>
      <c r="C32" t="inlineStr">
        <is>
          <t>Общеобменная вентиляция</t>
        </is>
      </c>
      <c r="D32" s="2" t="n">
        <v>197340</v>
      </c>
      <c r="E32" t="inlineStr"/>
    </row>
    <row r="33">
      <c r="A33" t="inlineStr">
        <is>
          <t>БН</t>
        </is>
      </c>
      <c r="B33" t="inlineStr">
        <is>
          <t>Баня</t>
        </is>
      </c>
      <c r="C33" t="inlineStr">
        <is>
          <t>Кондиционирование</t>
        </is>
      </c>
      <c r="D33" s="2" t="n">
        <v>46673</v>
      </c>
      <c r="E33" t="inlineStr"/>
    </row>
    <row r="34">
      <c r="A34" t="inlineStr">
        <is>
          <t>РС</t>
        </is>
      </c>
      <c r="B34" t="inlineStr">
        <is>
          <t>Ресторан</t>
        </is>
      </c>
      <c r="C34" t="inlineStr">
        <is>
          <t>Составление ТЗ (гидравлика)</t>
        </is>
      </c>
      <c r="D34" s="2" t="n">
        <v>50000</v>
      </c>
      <c r="E34" t="inlineStr">
        <is>
          <t>да</t>
        </is>
      </c>
    </row>
    <row r="35">
      <c r="A35" t="inlineStr">
        <is>
          <t>РС</t>
        </is>
      </c>
      <c r="B35" t="inlineStr">
        <is>
          <t>Ресторан</t>
        </is>
      </c>
      <c r="C35" t="inlineStr">
        <is>
          <t>Отопление и тёплые полы</t>
        </is>
      </c>
      <c r="D35" s="2" t="n">
        <v>70000</v>
      </c>
      <c r="E35" t="inlineStr"/>
    </row>
    <row r="36">
      <c r="A36" t="inlineStr">
        <is>
          <t>РС</t>
        </is>
      </c>
      <c r="B36" t="inlineStr">
        <is>
          <t>Ресторан</t>
        </is>
      </c>
      <c r="C36" t="inlineStr">
        <is>
          <t>Теплоснабжение вентиляции</t>
        </is>
      </c>
      <c r="D36" s="2" t="n">
        <v>17000</v>
      </c>
      <c r="E36" t="inlineStr"/>
    </row>
    <row r="37">
      <c r="A37" t="inlineStr">
        <is>
          <t>РС</t>
        </is>
      </c>
      <c r="B37" t="inlineStr">
        <is>
          <t>Ресторан</t>
        </is>
      </c>
      <c r="C37" t="inlineStr">
        <is>
          <t>Водоснабжение и хоз-бытовая канализация</t>
        </is>
      </c>
      <c r="D37" s="2" t="n">
        <v>50000</v>
      </c>
      <c r="E37" t="inlineStr"/>
    </row>
    <row r="38">
      <c r="A38" t="inlineStr">
        <is>
          <t>РС</t>
        </is>
      </c>
      <c r="B38" t="inlineStr">
        <is>
          <t>Ресторан</t>
        </is>
      </c>
      <c r="C38" t="inlineStr">
        <is>
          <t>Дренаж от кондиционеров и вентиляции</t>
        </is>
      </c>
      <c r="D38" s="2" t="n">
        <v>15500</v>
      </c>
      <c r="E38" t="inlineStr"/>
    </row>
    <row r="39">
      <c r="A39" t="inlineStr">
        <is>
          <t>РС</t>
        </is>
      </c>
      <c r="B39" t="inlineStr">
        <is>
          <t>Ресторан</t>
        </is>
      </c>
      <c r="C39" t="inlineStr">
        <is>
          <t>Котельная</t>
        </is>
      </c>
      <c r="D39" s="2" t="n">
        <v>31500</v>
      </c>
      <c r="E39" t="inlineStr"/>
    </row>
    <row r="40">
      <c r="A40" t="inlineStr">
        <is>
          <t>РС</t>
        </is>
      </c>
      <c r="B40" t="inlineStr">
        <is>
          <t>Ресторан</t>
        </is>
      </c>
      <c r="C40" t="inlineStr">
        <is>
          <t>Составление ТЗ (аэродинамика)</t>
        </is>
      </c>
      <c r="D40" s="2" t="n">
        <v>50000</v>
      </c>
      <c r="E40" t="inlineStr">
        <is>
          <t>да</t>
        </is>
      </c>
    </row>
    <row r="41">
      <c r="A41" t="inlineStr">
        <is>
          <t>РС</t>
        </is>
      </c>
      <c r="B41" t="inlineStr">
        <is>
          <t>Ресторан</t>
        </is>
      </c>
      <c r="C41" t="inlineStr">
        <is>
          <t>Общеобменная вентиляция</t>
        </is>
      </c>
      <c r="D41" s="2" t="n">
        <v>157300</v>
      </c>
      <c r="E41" t="inlineStr"/>
    </row>
    <row r="42">
      <c r="A42" t="inlineStr">
        <is>
          <t>РС</t>
        </is>
      </c>
      <c r="B42" t="inlineStr">
        <is>
          <t>Ресторан</t>
        </is>
      </c>
      <c r="C42" t="inlineStr">
        <is>
          <t>Кондиционирование</t>
        </is>
      </c>
      <c r="D42" s="2" t="n">
        <v>133100</v>
      </c>
      <c r="E42" t="inlineStr"/>
    </row>
    <row r="43">
      <c r="A43" t="inlineStr">
        <is>
          <t>ЭБ</t>
        </is>
      </c>
      <c r="B43" t="inlineStr">
        <is>
          <t>Баня + ресторан</t>
        </is>
      </c>
      <c r="C43" t="inlineStr">
        <is>
          <t>Электроснабжение и электроосвещение с технологией</t>
        </is>
      </c>
      <c r="D43" s="2" t="n">
        <v>310000</v>
      </c>
      <c r="E43" t="inlineStr"/>
    </row>
    <row r="44">
      <c r="A44" t="inlineStr">
        <is>
          <t>ЭБ</t>
        </is>
      </c>
      <c r="B44" t="inlineStr">
        <is>
          <t>Баня + ресторан</t>
        </is>
      </c>
      <c r="C44" t="inlineStr">
        <is>
          <t>Автоматизация, климат, диспетчеризация (бассейн — штатная)</t>
        </is>
      </c>
      <c r="D44" s="2" t="n">
        <v>420000</v>
      </c>
      <c r="E44" t="inlineStr"/>
    </row>
    <row r="45">
      <c r="A45" t="inlineStr">
        <is>
          <t>ЭБ</t>
        </is>
      </c>
      <c r="B45" t="inlineStr">
        <is>
          <t>Баня + ресторан</t>
        </is>
      </c>
      <c r="C45" t="inlineStr">
        <is>
          <t>СКС, ЛВС, Wi-Fi</t>
        </is>
      </c>
      <c r="D45" s="2" t="n">
        <v>110000</v>
      </c>
      <c r="E45" t="inlineStr"/>
    </row>
    <row r="46">
      <c r="A46" t="inlineStr">
        <is>
          <t>ЭБ</t>
        </is>
      </c>
      <c r="B46" t="inlineStr">
        <is>
          <t>Баня + ресторан</t>
        </is>
      </c>
      <c r="C46" t="inlineStr">
        <is>
          <t>АПС + ОПС</t>
        </is>
      </c>
      <c r="D46" s="2" t="n">
        <v>220000</v>
      </c>
      <c r="E46" t="inlineStr"/>
    </row>
    <row r="47">
      <c r="A47" t="inlineStr"/>
      <c r="B47" t="inlineStr"/>
      <c r="C47" t="inlineStr">
        <is>
          <t>ИТОГО</t>
        </is>
      </c>
      <c r="D47" s="2">
        <f>SUM(D2:D46)</f>
        <v/>
      </c>
      <c r="E47" t="inlineStr"/>
    </row>
    <row r="48">
      <c r="A48" t="inlineStr"/>
      <c r="B48" t="inlineStr"/>
      <c r="C48" t="inlineStr">
        <is>
          <t>в т. ч. «составление ТЗ»</t>
        </is>
      </c>
      <c r="D48" s="2">
        <f>SUMIF(E2:E46,"да",D2:D46)</f>
        <v/>
      </c>
      <c r="E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40" customWidth="1" min="3" max="3"/>
    <col width="14" customWidth="1" min="4" max="4"/>
    <col width="14" customWidth="1" min="5" max="5"/>
    <col width="50" customWidth="1" min="6" max="6"/>
  </cols>
  <sheetData>
    <row r="1">
      <c r="A1" s="3" t="inlineStr">
        <is>
          <t>Код</t>
        </is>
      </c>
      <c r="B1" s="3" t="inlineStr">
        <is>
          <t>Файл</t>
        </is>
      </c>
      <c r="C1" s="3" t="inlineStr">
        <is>
          <t>Что</t>
        </is>
      </c>
      <c r="D1" s="3" t="inlineStr">
        <is>
          <t>Дата</t>
        </is>
      </c>
      <c r="E1" s="3" t="inlineStr">
        <is>
          <t>Сумма, ₽</t>
        </is>
      </c>
      <c r="F1" s="3" t="inlineStr">
        <is>
          <t>Условия</t>
        </is>
      </c>
    </row>
    <row r="2">
      <c r="A2" s="4" t="inlineStr">
        <is>
          <t>НС</t>
        </is>
      </c>
      <c r="B2" s="4" t="inlineStr">
        <is>
          <t>261016_КП проектирование ИстраV2.docx</t>
        </is>
      </c>
      <c r="C2" s="4" t="inlineStr">
        <is>
          <t>Общепоселковые наружные сети</t>
        </is>
      </c>
      <c r="D2" s="4" t="inlineStr">
        <is>
          <t>16–26.10.2026</t>
        </is>
      </c>
      <c r="E2" s="5" t="n">
        <v>3410000</v>
      </c>
      <c r="F2" s="4" t="inlineStr">
        <is>
          <t>без НДС; 2,5 мес от аванса и исходных; аванс 50 %</t>
        </is>
      </c>
    </row>
    <row r="3">
      <c r="A3" s="4" t="inlineStr">
        <is>
          <t>ЭБ</t>
        </is>
      </c>
      <c r="B3" s="4" t="inlineStr">
        <is>
          <t>Кп проектирование Эллинг+Баня V1.docx</t>
        </is>
      </c>
      <c r="C3" s="4" t="inlineStr">
        <is>
          <t>ЭОМ, автоматизация, СС, АПС — эллинг и баня/ресторан</t>
        </is>
      </c>
      <c r="D3" s="4" t="inlineStr">
        <is>
          <t>22.10.2026</t>
        </is>
      </c>
      <c r="E3" s="5" t="n">
        <v>2450000</v>
      </c>
      <c r="F3" s="4" t="inlineStr">
        <is>
          <t>НДС не указан; срок не указан</t>
        </is>
      </c>
    </row>
    <row r="4">
      <c r="A4" s="4" t="inlineStr">
        <is>
          <t>ЭЛ</t>
        </is>
      </c>
      <c r="B4" s="4" t="inlineStr">
        <is>
          <t>261023_KP_elling.xls</t>
        </is>
      </c>
      <c r="C4" s="4" t="inlineStr">
        <is>
          <t>ОВ, ВК, ОВК — эллинг</t>
        </is>
      </c>
      <c r="D4" s="4" t="inlineStr">
        <is>
          <t>23.10.2026</t>
        </is>
      </c>
      <c r="E4" s="5" t="n">
        <v>1357912</v>
      </c>
      <c r="F4" s="4" t="inlineStr">
        <is>
          <t>НДС не указан; 30–35 раб. дней; согласования не входят</t>
        </is>
      </c>
    </row>
    <row r="5">
      <c r="A5" s="4" t="inlineStr">
        <is>
          <t>БН</t>
        </is>
      </c>
      <c r="B5" s="4" t="inlineStr">
        <is>
          <t>261023_KP_bath.xls</t>
        </is>
      </c>
      <c r="C5" s="4" t="inlineStr">
        <is>
          <t>ОВ, ВК, ОВК — баня</t>
        </is>
      </c>
      <c r="D5" s="4" t="inlineStr">
        <is>
          <t>23.10.2026</t>
        </is>
      </c>
      <c r="E5" s="5" t="n">
        <v>573013</v>
      </c>
      <c r="F5" s="4" t="inlineStr">
        <is>
          <t>НДС не указан; 30–35 раб. дней</t>
        </is>
      </c>
    </row>
    <row r="6">
      <c r="A6" s="4" t="inlineStr">
        <is>
          <t>РС</t>
        </is>
      </c>
      <c r="B6" s="4" t="inlineStr">
        <is>
          <t>261023_KP_rest.xls</t>
        </is>
      </c>
      <c r="C6" s="4" t="inlineStr">
        <is>
          <t>ОВ, ВК, ОВК — ресторан</t>
        </is>
      </c>
      <c r="D6" s="4" t="inlineStr">
        <is>
          <t>23.10.2026</t>
        </is>
      </c>
      <c r="E6" s="5" t="n">
        <v>574400</v>
      </c>
      <c r="F6" s="4" t="inlineStr">
        <is>
          <t>НДС не указан; 30–35 раб. дней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40" customWidth="1" min="3" max="3"/>
    <col width="14" customWidth="1" min="4" max="4"/>
    <col width="14" customWidth="1" min="5" max="5"/>
    <col width="50" customWidth="1" min="6" max="6"/>
  </cols>
  <sheetData>
    <row r="1">
      <c r="A1" s="3" t="inlineStr">
        <is>
          <t>Лот</t>
        </is>
      </c>
      <c r="B1" s="3" t="inlineStr">
        <is>
          <t>По КП, ₽</t>
        </is>
      </c>
      <c r="C1" s="3" t="inlineStr">
        <is>
          <t>Цель от, ₽</t>
        </is>
      </c>
      <c r="D1" s="3" t="inlineStr">
        <is>
          <t>Цель до, ₽</t>
        </is>
      </c>
      <c r="E1" s="3" t="inlineStr">
        <is>
          <t>Что меняем</t>
        </is>
      </c>
    </row>
    <row r="2">
      <c r="A2" s="4" t="inlineStr">
        <is>
          <t>Наружные сети посёлка</t>
        </is>
      </c>
      <c r="B2" s="5" t="n">
        <v>3410000</v>
      </c>
      <c r="C2" s="5" t="n">
        <v>2300000</v>
      </c>
      <c r="D2" s="5" t="n">
        <v>2700000</v>
      </c>
      <c r="E2" s="4" t="inlineStr">
        <is>
          <t>добавить К2/К3 и вертикалку; периметр — отложить; ВОЛС — по реальной трассе; стадии П и Р раздельно</t>
        </is>
      </c>
    </row>
    <row r="3">
      <c r="A3" s="4" t="inlineStr">
        <is>
          <t>Эллинг: ОВ, ВК, ОВК, ЭОМ, СС, автоматика</t>
        </is>
      </c>
      <c r="B3" s="5" t="n">
        <v>2747912</v>
      </c>
      <c r="C3" s="5" t="n">
        <v>2000000</v>
      </c>
      <c r="D3" s="5" t="n">
        <v>2300000</v>
      </c>
      <c r="E3" s="4" t="inlineStr">
        <is>
          <t>убрать 2 × ТЗ (есть БЭ-ТД); добавить К3/ЛОС, МЗ, СОУЭ, спецификации; центральный пост — один раз</t>
        </is>
      </c>
    </row>
    <row r="4">
      <c r="A4" s="4" t="inlineStr">
        <is>
          <t>Баня и ресторан: те же разделы</t>
        </is>
      </c>
      <c r="B4" s="5" t="n">
        <v>2207413</v>
      </c>
      <c r="C4" s="5" t="n">
        <v>1500000</v>
      </c>
      <c r="D4" s="5" t="n">
        <v>1800000</v>
      </c>
      <c r="E4" s="4" t="inlineStr">
        <is>
          <t>убрать 4 × ТЗ; добавить водоподготовку бассейна, ТХ кухни отдельно; заказывать после решения по ОКС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2026-10-28T03:46:02Z</dcterms:created>
  <dcterms:modified xmlns:dcterms="http://purl.org/dc/terms/" xmlns:xsi="http://www.w3.org/2001/XMLSchema-instance" xsi:type="dcterms:W3CDTF">2026-10-28T03:46:02Z</dcterms:modified>
</cp:coreProperties>
</file>